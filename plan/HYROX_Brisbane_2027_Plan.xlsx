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Log" sheetId="3" state="visible" r:id="rId3"/>
    <sheet xmlns:r="http://schemas.openxmlformats.org/officeDocument/2006/relationships" name="Benchmark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%"/>
    <numFmt numFmtId="166" formatCode="[m]:ss"/>
    <numFmt numFmtId="167" formatCode="[m]:ss;\-[m]:ss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6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FFFFFF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  <fill>
      <patternFill patternType="solid">
        <fgColor rgb="FFDBEAFE"/>
        <bgColor rgb="FFEDE9FE"/>
      </patternFill>
    </fill>
    <fill>
      <patternFill patternType="solid">
        <fgColor rgb="FFDCFCE7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DE9FE"/>
      </patternFill>
    </fill>
    <fill>
      <patternFill patternType="solid">
        <fgColor rgb="FFEDE9FE"/>
        <bgColor rgb="FFDBEAFE"/>
      </patternFill>
    </fill>
    <fill>
      <patternFill patternType="solid">
        <fgColor rgb="FFFCA5A5"/>
        <bgColor rgb="FFFF808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1" fontId="7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164" fontId="6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164" fontId="6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164" fontId="6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164" fontId="6" fillId="7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164" fontId="6" fillId="8" borderId="1" applyAlignment="1" pivotButton="0" quotePrefix="0" xfId="0">
      <alignment horizontal="general" vertical="top" wrapText="1"/>
    </xf>
    <xf numFmtId="0" fontId="5" fillId="9" borderId="1" applyAlignment="1" pivotButton="0" quotePrefix="0" xfId="0">
      <alignment horizontal="general" vertical="top" wrapText="1"/>
    </xf>
    <xf numFmtId="164" fontId="6" fillId="9" borderId="1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45" fontId="7" fillId="0" borderId="1" applyAlignment="1" pivotButton="0" quotePrefix="0" xfId="0">
      <alignment horizontal="general" vertical="bottom"/>
    </xf>
    <xf numFmtId="166" fontId="7" fillId="2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1" fontId="7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164" fontId="6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164" fontId="6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164" fontId="6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164" fontId="6" fillId="7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164" fontId="6" fillId="8" borderId="1" applyAlignment="1" pivotButton="0" quotePrefix="0" xfId="0">
      <alignment horizontal="general" vertical="top" wrapText="1"/>
    </xf>
    <xf numFmtId="0" fontId="5" fillId="9" borderId="1" applyAlignment="1" pivotButton="0" quotePrefix="0" xfId="0">
      <alignment horizontal="general" vertical="top" wrapText="1"/>
    </xf>
    <xf numFmtId="164" fontId="6" fillId="9" borderId="1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45" fontId="7" fillId="0" borderId="1" applyAlignment="1" pivotButton="0" quotePrefix="0" xfId="0">
      <alignment horizontal="general" vertical="bottom"/>
    </xf>
    <xf numFmtId="166" fontId="7" fillId="2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CA5A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DE9FE"/>
      <rgbColor rgb="FFFFFF99"/>
      <rgbColor rgb="FF99CCFF"/>
      <rgbColor rgb="FFFCA5A5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1" max="1"/>
    <col width="40" customWidth="1" style="38" min="2" max="2"/>
    <col width="36" customWidth="1" style="38" min="3" max="3"/>
    <col width="14" customWidth="1" style="38" min="4" max="4"/>
    <col width="46" customWidth="1" style="38" min="5" max="5"/>
  </cols>
  <sheetData>
    <row r="1" ht="19.7" customHeight="1" s="39">
      <c r="A1" s="40" t="inlineStr">
        <is>
          <t>HYROX Brisbane 2027 Prep Plan</t>
        </is>
      </c>
    </row>
    <row r="3" ht="15" customHeight="1" s="39">
      <c r="A3" s="41" t="inlineStr">
        <is>
          <t>Race</t>
        </is>
      </c>
      <c r="B3" s="42" t="inlineStr">
        <is>
          <t>HYROX Brisbane, Open men</t>
        </is>
      </c>
    </row>
    <row r="4" ht="15" customHeight="1" s="39">
      <c r="A4" s="41" t="inlineStr">
        <is>
          <t>Race window start</t>
        </is>
      </c>
      <c r="B4" s="43" t="n">
        <v>46477</v>
      </c>
    </row>
    <row r="5" ht="15" customHeight="1" s="39">
      <c r="A5" s="41" t="inlineStr">
        <is>
          <t>Plan start (Monday, week 1)</t>
        </is>
      </c>
      <c r="B5" s="44" t="n">
        <v>46293</v>
      </c>
      <c r="C5" s="45" t="inlineStr">
        <is>
          <t>Edit to shift every week date in Plan</t>
        </is>
      </c>
    </row>
    <row r="6" ht="15" customHeight="1" s="39">
      <c r="A6" s="41" t="inlineStr">
        <is>
          <t>Weeks to race window (from today)</t>
        </is>
      </c>
      <c r="B6" s="42">
        <f>ROUNDUP((B4-TODAY())/7,0)</f>
        <v/>
      </c>
    </row>
    <row r="7" ht="15" customHeight="1" s="39">
      <c r="A7" s="41" t="inlineStr">
        <is>
          <t>Target finish time (h:mm:ss)</t>
        </is>
      </c>
      <c r="B7" s="46" t="n">
        <v>0.05902777777777778</v>
      </c>
      <c r="C7" s="45" t="inlineStr">
        <is>
          <t>Your goal; edit anytime</t>
        </is>
      </c>
    </row>
    <row r="8" ht="15" customHeight="1" s="39">
      <c r="A8" s="41" t="inlineStr">
        <is>
          <t>Target heat</t>
        </is>
      </c>
      <c r="B8" s="42" t="inlineStr">
        <is>
          <t>Sat Apr 3 or Sun Apr 4 (latest day possible)</t>
        </is>
      </c>
    </row>
    <row r="9" ht="15" customHeight="1" s="39">
      <c r="A9" s="41" t="inlineStr">
        <is>
          <t>Travel</t>
        </is>
      </c>
      <c r="B9" s="42" t="inlineStr">
        <is>
          <t>Fly out about Sat Mar 27, land Mon Mar 29 (Brisbane is 14 h ahead)</t>
        </is>
      </c>
    </row>
    <row r="10" ht="15" customHeight="1" s="39">
      <c r="A10" s="41" t="inlineStr">
        <is>
          <t>Tickets (TBA)</t>
        </is>
      </c>
      <c r="B10" s="42" t="inlineStr">
        <is>
          <t>https://hyrox.com/event/hyrox-brisbane/</t>
        </is>
      </c>
    </row>
    <row r="12" ht="15" customHeight="1" s="39">
      <c r="A12" s="47" t="inlineStr">
        <is>
          <t>Legend</t>
        </is>
      </c>
    </row>
    <row r="13" ht="15" customHeight="1" s="39">
      <c r="A13" s="42" t="inlineStr">
        <is>
          <t>Yellow cells with blue text = inputs you edit. Everything else is formulas or plan content.</t>
        </is>
      </c>
    </row>
    <row r="14" ht="15" customHeight="1" s="39">
      <c r="A14" s="42" t="inlineStr">
        <is>
          <t>Plan tab: tick Done (Y/N) weekly. Log tab: one row per session. Benchmarks tab: retest in weeks 8, 16, 20.</t>
        </is>
      </c>
    </row>
    <row r="16" ht="15" customHeight="1" s="39">
      <c r="A16" s="47" t="inlineStr">
        <is>
          <t>Race format: 8 x (1 km run + station)</t>
        </is>
      </c>
    </row>
    <row r="17" ht="15" customHeight="1" s="39">
      <c r="A17" s="48" t="inlineStr">
        <is>
          <t>#</t>
        </is>
      </c>
      <c r="B17" s="48" t="inlineStr">
        <is>
          <t>Station</t>
        </is>
      </c>
      <c r="C17" s="48" t="inlineStr">
        <is>
          <t>Open men</t>
        </is>
      </c>
      <c r="D17" s="48" t="inlineStr">
        <is>
          <t>Pro men</t>
        </is>
      </c>
      <c r="E17" s="48" t="inlineStr">
        <is>
          <t>Key technique</t>
        </is>
      </c>
    </row>
    <row r="18" ht="15" customHeight="1" s="39">
      <c r="A18" s="49" t="n">
        <v>1</v>
      </c>
      <c r="B18" s="49" t="inlineStr">
        <is>
          <t>SkiErg</t>
        </is>
      </c>
      <c r="C18" s="49" t="inlineStr">
        <is>
          <t>1000 m</t>
        </is>
      </c>
      <c r="D18" s="49" t="inlineStr">
        <is>
          <t>1000 m</t>
        </is>
      </c>
      <c r="E18" s="49" t="inlineStr">
        <is>
          <t>Long pulls from hips, steady pace, do not sprint</t>
        </is>
      </c>
    </row>
    <row r="19" ht="15" customHeight="1" s="39">
      <c r="A19" s="49" t="n">
        <v>2</v>
      </c>
      <c r="B19" s="49" t="inlineStr">
        <is>
          <t>Sled push</t>
        </is>
      </c>
      <c r="C19" s="49" t="inlineStr">
        <is>
          <t>50 m, 152 kg incl. sled</t>
        </is>
      </c>
      <c r="D19" s="49" t="inlineStr">
        <is>
          <t>202 kg</t>
        </is>
      </c>
      <c r="E19" s="49" t="inlineStr">
        <is>
          <t>Arms locked, low body angle, short fast steps</t>
        </is>
      </c>
    </row>
    <row r="20" ht="15" customHeight="1" s="39">
      <c r="A20" s="49" t="n">
        <v>3</v>
      </c>
      <c r="B20" s="49" t="inlineStr">
        <is>
          <t>Sled pull</t>
        </is>
      </c>
      <c r="C20" s="49" t="inlineStr">
        <is>
          <t>50 m, 103 kg incl. sled</t>
        </is>
      </c>
      <c r="D20" s="49" t="inlineStr">
        <is>
          <t>153 kg</t>
        </is>
      </c>
      <c r="E20" s="49" t="inlineStr">
        <is>
          <t>Walk back in the box, hand over hand, use legs</t>
        </is>
      </c>
    </row>
    <row r="21" ht="23.85" customHeight="1" s="39">
      <c r="A21" s="49" t="n">
        <v>4</v>
      </c>
      <c r="B21" s="49" t="inlineStr">
        <is>
          <t>Burpee broad jumps</t>
        </is>
      </c>
      <c r="C21" s="49" t="inlineStr">
        <is>
          <t>80 m</t>
        </is>
      </c>
      <c r="D21" s="49" t="inlineStr">
        <is>
          <t>80 m</t>
        </is>
      </c>
      <c r="E21" s="49" t="inlineStr">
        <is>
          <t>Step up instead of jump up if knee complains; steady rhythm</t>
        </is>
      </c>
    </row>
    <row r="22" ht="15" customHeight="1" s="39">
      <c r="A22" s="49" t="n">
        <v>5</v>
      </c>
      <c r="B22" s="49" t="inlineStr">
        <is>
          <t>Row</t>
        </is>
      </c>
      <c r="C22" s="49" t="inlineStr">
        <is>
          <t>1000 m</t>
        </is>
      </c>
      <c r="D22" s="49" t="inlineStr">
        <is>
          <t>1000 m</t>
        </is>
      </c>
      <c r="E22" s="49" t="inlineStr">
        <is>
          <t>Legs first, 24 to 28 spm, do not sprint</t>
        </is>
      </c>
    </row>
    <row r="23" ht="15" customHeight="1" s="39">
      <c r="A23" s="49" t="n">
        <v>6</v>
      </c>
      <c r="B23" s="49" t="inlineStr">
        <is>
          <t>Farmers carry</t>
        </is>
      </c>
      <c r="C23" s="49" t="inlineStr">
        <is>
          <t>200 m, 2 x 24 kg</t>
        </is>
      </c>
      <c r="D23" s="49" t="inlineStr">
        <is>
          <t>2 x 32 kg</t>
        </is>
      </c>
      <c r="E23" s="49" t="inlineStr">
        <is>
          <t>Fast walk, no drops</t>
        </is>
      </c>
    </row>
    <row r="24" ht="15" customHeight="1" s="39">
      <c r="A24" s="49" t="n">
        <v>7</v>
      </c>
      <c r="B24" s="49" t="inlineStr">
        <is>
          <t>Sandbag lunges</t>
        </is>
      </c>
      <c r="C24" s="49" t="inlineStr">
        <is>
          <t>100 m, 20 kg</t>
        </is>
      </c>
      <c r="D24" s="49" t="inlineStr">
        <is>
          <t>30 kg</t>
        </is>
      </c>
      <c r="E24" s="49" t="inlineStr">
        <is>
          <t>Knee station. Build volume slowly (see Plan)</t>
        </is>
      </c>
    </row>
    <row r="25" ht="15" customHeight="1" s="39">
      <c r="A25" s="49" t="n">
        <v>8</v>
      </c>
      <c r="B25" s="49" t="inlineStr">
        <is>
          <t>Wall balls</t>
        </is>
      </c>
      <c r="C25" s="49" t="inlineStr">
        <is>
          <t>100 reps, 6 kg, 3 m</t>
        </is>
      </c>
      <c r="D25" s="49" t="inlineStr">
        <is>
          <t>9 kg, 3 m</t>
        </is>
      </c>
      <c r="E25" s="49" t="inlineStr">
        <is>
          <t>Break early: 25/25/20/15/15, short rests</t>
        </is>
      </c>
    </row>
    <row r="26" ht="15" customHeight="1" s="39">
      <c r="A26" s="45" t="inlineStr">
        <is>
          <t>Confirm weights in the official rulebook when you register.</t>
        </is>
      </c>
    </row>
    <row r="29" ht="15" customHeight="1" s="39">
      <c r="A29" s="47" t="inlineStr">
        <is>
          <t>Phases</t>
        </is>
      </c>
    </row>
    <row r="30" ht="15" customHeight="1" s="39">
      <c r="A30" s="48" t="inlineStr">
        <is>
          <t>Phase</t>
        </is>
      </c>
      <c r="B30" s="48" t="inlineStr">
        <is>
          <t>Weeks</t>
        </is>
      </c>
      <c r="C30" s="48" t="inlineStr">
        <is>
          <t>Goal</t>
        </is>
      </c>
      <c r="D30" s="48" t="inlineStr">
        <is>
          <t>Run km/week</t>
        </is>
      </c>
      <c r="E30" s="48" t="inlineStr">
        <is>
          <t>Nutrition</t>
        </is>
      </c>
    </row>
    <row r="31" ht="35.05" customHeight="1" s="39">
      <c r="A31" s="50" t="inlineStr">
        <is>
          <t>Base</t>
        </is>
      </c>
      <c r="B31" s="50" t="inlineStr">
        <is>
          <t>1 to 8</t>
        </is>
      </c>
      <c r="C31" s="50" t="inlineStr">
        <is>
          <t>Aerobic base, station technique, strength endurance (16 min EMOMs), knee tolerance</t>
        </is>
      </c>
      <c r="D31" s="50" t="inlineStr">
        <is>
          <t>6 to 12</t>
        </is>
      </c>
      <c r="E31" s="50" t="inlineStr">
        <is>
          <t>Eat clean, 150 g protein, no calorie cap</t>
        </is>
      </c>
    </row>
    <row r="32" ht="23.85" customHeight="1" s="39">
      <c r="A32" s="51" t="inlineStr">
        <is>
          <t>Build 1</t>
        </is>
      </c>
      <c r="B32" s="51" t="inlineStr">
        <is>
          <t>9 to 14</t>
        </is>
      </c>
      <c r="C32" s="51" t="inlineStr">
        <is>
          <t>Race pace 1 km repeats, 20 min EMOMs at race weights</t>
        </is>
      </c>
      <c r="D32" s="51" t="inlineStr">
        <is>
          <t>10 to 15</t>
        </is>
      </c>
      <c r="E32" s="51" t="inlineStr">
        <is>
          <t>Eat clean, 150 g protein, carbs around runs</t>
        </is>
      </c>
    </row>
    <row r="33" ht="23.85" customHeight="1" s="39">
      <c r="A33" s="52" t="inlineStr">
        <is>
          <t>Build 2</t>
        </is>
      </c>
      <c r="B33" s="52" t="inlineStr">
        <is>
          <t>15 to 21</t>
        </is>
      </c>
      <c r="C33" s="52" t="inlineStr">
        <is>
          <t>Running after stations, 24 min EMOMs, first full sims</t>
        </is>
      </c>
      <c r="D33" s="52" t="inlineStr">
        <is>
          <t>11 to 19</t>
        </is>
      </c>
      <c r="E33" s="52" t="inlineStr">
        <is>
          <t>Eat clean, 150 g protein, carbs around sessions</t>
        </is>
      </c>
    </row>
    <row r="34" ht="23.85" customHeight="1" s="39">
      <c r="A34" s="53" t="inlineStr">
        <is>
          <t>Peak</t>
        </is>
      </c>
      <c r="B34" s="53" t="inlineStr">
        <is>
          <t>22 to 24</t>
        </is>
      </c>
      <c r="C34" s="53" t="inlineStr">
        <is>
          <t>Race pace, EMOMs at race effort, timed dress rehearsal in week 24</t>
        </is>
      </c>
      <c r="D34" s="53" t="inlineStr">
        <is>
          <t>19 to 20</t>
        </is>
      </c>
      <c r="E34" s="53" t="inlineStr">
        <is>
          <t>Eat to perform, no deficit</t>
        </is>
      </c>
    </row>
    <row r="35" ht="23.85" customHeight="1" s="39">
      <c r="A35" s="54" t="inlineStr">
        <is>
          <t>Taper</t>
        </is>
      </c>
      <c r="B35" s="54" t="inlineStr">
        <is>
          <t>25 to 26</t>
        </is>
      </c>
      <c r="C35" s="54" t="inlineStr">
        <is>
          <t>Volume down, intensity kept, fly Sat of week 26</t>
        </is>
      </c>
      <c r="D35" s="54" t="inlineStr">
        <is>
          <t>10 to 14</t>
        </is>
      </c>
      <c r="E35" s="54" t="inlineStr">
        <is>
          <t>Eat to perform, hydrate hard on the flight</t>
        </is>
      </c>
    </row>
    <row r="36" ht="15" customHeight="1" s="39">
      <c r="A36" s="55" t="inlineStr">
        <is>
          <t>Race</t>
        </is>
      </c>
      <c r="B36" s="55" t="inlineStr">
        <is>
          <t>27</t>
        </is>
      </c>
      <c r="C36" s="55" t="inlineStr">
        <is>
          <t>Brisbane: shake out, race Apr 3 or 4</t>
        </is>
      </c>
      <c r="D36" s="55" t="inlineStr">
        <is>
          <t>6</t>
        </is>
      </c>
      <c r="E36" s="55" t="inlineStr">
        <is>
          <t>Carb up 2 days before</t>
        </is>
      </c>
    </row>
    <row r="38" ht="15" customHeight="1" s="39">
      <c r="A38" s="47" t="inlineStr">
        <is>
          <t>Weekly structure: 4 gym days + hockey, 2 rest days (sessions 60 to 70 min max)</t>
        </is>
      </c>
    </row>
    <row r="39" ht="15" customHeight="1" s="39">
      <c r="A39" s="48" t="inlineStr">
        <is>
          <t>Day</t>
        </is>
      </c>
      <c r="B39" s="48" t="inlineStr">
        <is>
          <t>Session</t>
        </is>
      </c>
      <c r="C39" s="48" t="n"/>
      <c r="D39" s="48" t="n"/>
      <c r="E39" s="48" t="n"/>
    </row>
    <row r="40" ht="15" customHeight="1" s="39">
      <c r="A40" s="41" t="inlineStr">
        <is>
          <t>Mon</t>
        </is>
      </c>
      <c r="B40" s="42" t="inlineStr">
        <is>
          <t>Heavy lower lift (3 x 5), then a secondary leg lift at RPE 7 (hack squat 3 x 8 in weeks 1 to 8, RDL 3 x 8 in weeks 9 to 21, dropped from week 22), then legs &amp; grip EMOM: sled push, lunges, sled pull, farmers carry</t>
        </is>
      </c>
    </row>
    <row r="41" ht="15" customHeight="1" s="39">
      <c r="A41" s="41" t="inlineStr">
        <is>
          <t>Tue</t>
        </is>
      </c>
      <c r="B41" s="42" t="inlineStr">
        <is>
          <t>Run intervals, then arms block A (15 min)</t>
        </is>
      </c>
    </row>
    <row r="42" ht="15" customHeight="1" s="39">
      <c r="A42" s="41" t="inlineStr">
        <is>
          <t>Wed</t>
        </is>
      </c>
      <c r="B42" s="42" t="inlineStr">
        <is>
          <t>REST + 12 min mobility routine (daily 3 moves: 4 min)</t>
        </is>
      </c>
    </row>
    <row r="43" ht="15" customHeight="1" s="39">
      <c r="A43" s="41" t="inlineStr">
        <is>
          <t>Thu</t>
        </is>
      </c>
      <c r="B43" s="42" t="inlineStr">
        <is>
          <t>Hockey (counts as conditioning)</t>
        </is>
      </c>
    </row>
    <row r="44" ht="15" customHeight="1" s="39">
      <c r="A44" s="41" t="inlineStr">
        <is>
          <t>Fri</t>
        </is>
      </c>
      <c r="B44" s="42" t="inlineStr">
        <is>
          <t>Heavy pull + press (3 x 5), then short arms block B (face pulls, cable crunch), then engine EMOM as the finisher (no grip, saves it for Saturday): SkiErg, wall balls, row, burpee broad jumps</t>
        </is>
      </c>
    </row>
    <row r="45" ht="15" customHeight="1" s="39">
      <c r="A45" s="41" t="inlineStr">
        <is>
          <t>Sat</t>
        </is>
      </c>
      <c r="B45" s="42" t="inlineStr">
        <is>
          <t>HYROX sim (half most weeks, full in weeks 19, 21, 24)</t>
        </is>
      </c>
    </row>
    <row r="46" ht="15" customHeight="1" s="39">
      <c r="A46" s="41" t="inlineStr">
        <is>
          <t>Sun</t>
        </is>
      </c>
      <c r="B46" s="42" t="inlineStr">
        <is>
          <t>REST. From week 9: optional 30 min easy run only if you feel fresh</t>
        </is>
      </c>
    </row>
    <row r="48" ht="15" customHeight="1" s="39">
      <c r="A48" s="47" t="inlineStr">
        <is>
          <t>Rules</t>
        </is>
      </c>
    </row>
    <row r="49" ht="15" customHeight="1" s="39">
      <c r="A49" s="42" t="inlineStr">
        <is>
          <t>• EMOM = Every Minute On the Minute: start the task at the top of each minute, rest whatever is left, repeat. Pick loads so you finish each minute with 10 to 20 s of rest.</t>
        </is>
      </c>
    </row>
    <row r="50" ht="15" customHeight="1" s="39">
      <c r="A50" s="42" t="inlineStr">
        <is>
          <t>• Session types copy what HYROX pros do (heavy strength, EMOM station work, threshold intervals, sims), scaled to 4 days. Pros run 50 to 80 km a week; you do not need that.</t>
        </is>
      </c>
    </row>
    <row r="51" ht="15" customHeight="1" s="39">
      <c r="A51" s="42" t="inlineStr">
        <is>
          <t>• Wednesday and Sunday are real rest days. Hockey counts as a hard session.</t>
        </is>
      </c>
    </row>
    <row r="52" ht="15" customHeight="1" s="39">
      <c r="A52" s="42" t="inlineStr">
        <is>
          <t>• Tired 2 weeks in a row (bad sleep, lifts dropping, missing EMOM minutes, heavy legs on Tuesday): make the next week a deload.</t>
        </is>
      </c>
    </row>
    <row r="53" ht="15" customHeight="1" s="39">
      <c r="A53" s="42" t="inlineStr">
        <is>
          <t>• EMOM progression: if every round has 20+ s rest, add reps or load next week. If you miss a minute, keep the same load until all rounds are clean.</t>
        </is>
      </c>
    </row>
    <row r="54" ht="15" customHeight="1" s="39">
      <c r="A54" s="42" t="inlineStr">
        <is>
          <t>• Knee pain 4/10 or more during lunges, burpees or wall balls (EMOMs included): stop that station, sub with sled push or step ups, log it.</t>
        </is>
      </c>
    </row>
    <row r="55" ht="15" customHeight="1" s="39">
      <c r="A55" s="42" t="inlineStr">
        <is>
          <t>• Get the MCL assessed by a physio before week 9 when lunge volume goes up.</t>
        </is>
      </c>
    </row>
    <row r="56" ht="15" customHeight="1" s="39">
      <c r="A56" s="42" t="inlineStr">
        <is>
          <t>• Weeks 4, 8, 12, 16, 20 are deloads (changed Oct 19): lifts 3 sets at 80% of last load, EMOM 12 min at normal loads, Tuesday 4 intervals at normal pace, arms 3 sets each, Saturday sim at 75%. Volume drops, intensity stays.</t>
        </is>
      </c>
    </row>
    <row r="57" ht="15" customHeight="1" s="39">
      <c r="A57" s="42" t="inlineStr">
        <is>
          <t>• Nutrition: eat clean, hit 150 g protein daily. Weigh 3 mornings a week. Losing over 0.5 kg/week or lifts dropping 2 to 3 weeks in a row: eat more.</t>
        </is>
      </c>
    </row>
    <row r="58" ht="15" customHeight="1" s="39">
      <c r="A58" s="42" t="inlineStr">
        <is>
          <t>• Arms/shoulders/abs are NOT extra days: block A after Tuesday's run, block B at the end of Friday. Sets close to failure.</t>
        </is>
      </c>
    </row>
    <row r="59" ht="15" customHeight="1" s="39">
      <c r="A59" s="42" t="inlineStr">
        <is>
          <t>• Sims: record every 1 km split. Runs should stay within 10 to 15 s of each other.</t>
        </is>
      </c>
    </row>
    <row r="60" ht="15" customHeight="1" s="39">
      <c r="A60" s="42" t="inlineStr">
        <is>
          <t>• Skip hockey in weeks 26 and 27. Not worth an injury right before the race.</t>
        </is>
      </c>
    </row>
    <row r="61" ht="15" customHeight="1" s="39">
      <c r="A61" s="42" t="inlineStr">
        <is>
          <t>• Jet lag: from Mon of week 26 go to bed 1 h earlier each night. On landing, morning sun, stay up until local night, no naps over 30 min.</t>
        </is>
      </c>
    </row>
    <row r="62" ht="15" customHeight="1" s="39">
      <c r="A62" s="42" t="n"/>
    </row>
    <row r="63">
      <c r="A63" s="38" t="inlineStr">
        <is>
          <t>Oct 31: Fridays weeks 6 to 21 add wall ball technique 2 x 10 (Fred only). Weeks 15 to 21 for everyone: EMOM wall balls with a 9 kg (20 lb) ball and Monday sandbag lunges at 25 kg.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38" min="1" max="1"/>
    <col width="12" customWidth="1" style="38" min="2" max="2"/>
    <col width="10" customWidth="1" style="38" min="3" max="3"/>
    <col width="24" customWidth="1" style="38" min="4" max="4"/>
    <col width="38" customWidth="1" style="38" min="5" max="5"/>
    <col width="46" customWidth="1" style="38" min="6" max="6"/>
    <col width="50" customWidth="1" style="38" min="7" max="7"/>
    <col width="40" customWidth="1" style="38" min="8" max="8"/>
    <col width="16" customWidth="1" style="38" min="9" max="9"/>
    <col width="10" customWidth="1" style="38" min="10" max="11"/>
    <col width="30" customWidth="1" style="38" min="12" max="12"/>
  </cols>
  <sheetData>
    <row r="1" ht="23.85" customHeight="1" s="39">
      <c r="A1" s="48" t="inlineStr">
        <is>
          <t>Week</t>
        </is>
      </c>
      <c r="B1" s="48" t="inlineStr">
        <is>
          <t>Week of</t>
        </is>
      </c>
      <c r="C1" s="48" t="inlineStr">
        <is>
          <t>Phase</t>
        </is>
      </c>
      <c r="D1" s="48" t="inlineStr">
        <is>
          <t>Focus</t>
        </is>
      </c>
      <c r="E1" s="48" t="inlineStr">
        <is>
          <t>MON: Heavy lower + legs &amp; grip EMOM</t>
        </is>
      </c>
      <c r="F1" s="48" t="inlineStr">
        <is>
          <t>TUE: Run + arms A</t>
        </is>
      </c>
      <c r="G1" s="48" t="inlineStr">
        <is>
          <t>FRI: Heavy upper + arms B + engine EMOM finisher</t>
        </is>
      </c>
      <c r="H1" s="48" t="inlineStr">
        <is>
          <t>SAT: HYROX sim</t>
        </is>
      </c>
      <c r="I1" s="48" t="inlineStr">
        <is>
          <t>SUN: easy run</t>
        </is>
      </c>
      <c r="J1" s="48" t="inlineStr">
        <is>
          <t>Run km target (planned runs only, no warm ups)</t>
        </is>
      </c>
      <c r="K1" s="48" t="inlineStr">
        <is>
          <t>Done (Y/N)</t>
        </is>
      </c>
      <c r="L1" s="48" t="inlineStr">
        <is>
          <t>Notes</t>
        </is>
      </c>
    </row>
    <row r="2" ht="68.65000000000001" customHeight="1" s="39">
      <c r="A2" s="56" t="n">
        <v>1</v>
      </c>
      <c r="B2" s="57">
        <f>Overview!$B$5+7*(A2-1)</f>
        <v/>
      </c>
      <c r="C2" s="56" t="inlineStr">
        <is>
          <t>Base</t>
        </is>
      </c>
      <c r="D2" s="49" t="inlineStr">
        <is>
          <t>Aerobic base, station technique, strength endurance</t>
        </is>
      </c>
      <c r="E2" s="49" t="inlineStr">
        <is>
          <t>Trap bar DL 3 x 5 heavy. Hack squat 3 x 8 @ RPE 7. EMOM 16 min (4 rounds), moderate: 1) sled push 20 m 2) 10 lunges/leg bodyweight 3) farmers carry 50 m, 2 x 24 kg 4) rest</t>
        </is>
      </c>
      <c r="F2" s="49" t="inlineStr">
        <is>
          <t>6 x 400 m @ 5k pace, 90 s rest
Then arms block A: Lateral raises 4x12-15, incline DB curls 3x10, overhead triceps ext 3x10, hanging leg raises 3x10-12</t>
        </is>
      </c>
      <c r="G2" s="49" t="inlineStr">
        <is>
          <t>Weighted pull ups 3 x 5, DB bench 3 x 8.
Then arms block B: Face pulls 3x15, cable crunch 3x10
Finisher: EMOM 16 min: 1) SkiErg 150 m 2) 15 wall balls 3) row 150 m 4) rest</t>
        </is>
      </c>
      <c r="H2" s="49" t="inlineStr">
        <is>
          <t>Half sim, race order, half volume, 75%: 4 x (500 m run + stations 1 to 4 at half volume)</t>
        </is>
      </c>
      <c r="I2" s="49" t="inlineStr">
        <is>
          <t>Rest</t>
        </is>
      </c>
      <c r="J2" s="49" t="n">
        <v>4.4</v>
      </c>
      <c r="K2" s="58" t="inlineStr">
        <is>
          <t>Y</t>
        </is>
      </c>
      <c r="L2" s="59" t="n"/>
    </row>
    <row r="3" ht="68.65000000000001" customHeight="1" s="39">
      <c r="A3" s="56" t="n">
        <v>2</v>
      </c>
      <c r="B3" s="57">
        <f>Overview!$B$5+7*(A3-1)</f>
        <v/>
      </c>
      <c r="C3" s="56" t="inlineStr">
        <is>
          <t>Base</t>
        </is>
      </c>
      <c r="D3" s="49" t="inlineStr">
        <is>
          <t>Aerobic base, station technique, strength endurance</t>
        </is>
      </c>
      <c r="E3" s="49" t="inlineStr">
        <is>
          <t>Trap bar DL 3 x 5 heavy. Hack squat 3 x 8 @ RPE 7. EMOM 16 min (4 rounds), moderate: 1) sled push 20 m 2) 10 lunges/leg bodyweight 3) farmers carry 50 m, 2 x 24 kg 4) rest</t>
        </is>
      </c>
      <c r="F3" s="49" t="inlineStr">
        <is>
          <t>8 x 400 m @ 5k pace, 90 s rest
Then arms block A: Lateral raises 4x12-15, incline DB curls 3x10, overhead triceps ext 3x10, hanging leg raises 3x10-12</t>
        </is>
      </c>
      <c r="G3" s="49" t="inlineStr">
        <is>
          <t>Weighted pull ups 3 x 5, DB bench 3 x 8.
Then arms block B: Face pulls 3x15, cable crunch 3x10
Finisher: EMOM 16 min: 1) SkiErg 150 m 2) 15 wall balls 3) row 150 m 4) rest</t>
        </is>
      </c>
      <c r="H3" s="49" t="inlineStr">
        <is>
          <t>Half sim, 75%: 4 x (500 m run + stations 5 to 8 at half volume)</t>
        </is>
      </c>
      <c r="I3" s="49" t="inlineStr">
        <is>
          <t>Rest</t>
        </is>
      </c>
      <c r="J3" s="49" t="n">
        <v>5.2</v>
      </c>
      <c r="K3" s="58" t="n"/>
      <c r="L3" s="59" t="n"/>
    </row>
    <row r="4" ht="68.65000000000001" customHeight="1" s="39">
      <c r="A4" s="56" t="n">
        <v>3</v>
      </c>
      <c r="B4" s="57">
        <f>Overview!$B$5+7*(A4-1)</f>
        <v/>
      </c>
      <c r="C4" s="56" t="inlineStr">
        <is>
          <t>Base</t>
        </is>
      </c>
      <c r="D4" s="49" t="inlineStr">
        <is>
          <t>Aerobic base, station technique, strength endurance</t>
        </is>
      </c>
      <c r="E4" s="49" t="inlineStr">
        <is>
          <t>Trap bar DL 3 x 5 heavy. Hack squat 3 x 8 @ RPE 7. EMOM 16 min (4 rounds), moderate: 1) sled push 20 m 2) 10 lunges/leg bodyweight 3) farmers carry 50 m, 2 x 24 kg 4) rest</t>
        </is>
      </c>
      <c r="F4" s="49" t="inlineStr">
        <is>
          <t>5 x 600 m, 90 s rest
Then arms block A: Lateral raises 4x12-15, incline DB curls 3x10, overhead triceps ext 3x10, hanging leg raises 3x10-12</t>
        </is>
      </c>
      <c r="G4" s="49" t="inlineStr">
        <is>
          <t>Weighted pull ups 3 x 5, DB bench 3 x 8.
Then arms block B: Face pulls 3x15, cable crunch 3x10
Finisher: EMOM 16 min: 1) SkiErg 150 m 2) 15 wall balls 3) row 150 m 4) rest</t>
        </is>
      </c>
      <c r="H4" s="49" t="inlineStr">
        <is>
          <t>Half sim stations 1 to 4, half volume, 75%</t>
        </is>
      </c>
      <c r="I4" s="49" t="inlineStr">
        <is>
          <t>Easy run 30 to 40 min in zone 2: 130 to 140 bpm, full sentences, slow is fine (about 5 km)</t>
        </is>
      </c>
      <c r="J4" s="49" t="n">
        <v>12</v>
      </c>
      <c r="K4" s="58" t="n"/>
      <c r="L4" s="59" t="n"/>
    </row>
    <row r="5" ht="57.45" customHeight="1" s="39">
      <c r="A5" s="56" t="n">
        <v>4</v>
      </c>
      <c r="B5" s="57">
        <f>Overview!$B$5+7*(A5-1)</f>
        <v/>
      </c>
      <c r="C5" s="56" t="inlineStr">
        <is>
          <t>Base</t>
        </is>
      </c>
      <c r="D5" s="49" t="inlineStr">
        <is>
          <t>Deload</t>
        </is>
      </c>
      <c r="E5" s="49" t="inlineStr">
        <is>
          <t>Trap bar DL 3 x 5 @ 80%. Hack squat 3 x 8 @ 80%. EMOM 12 min (3 rounds), normal loads: 1) sled push 20 m 2) 10 lunges/leg bodyweight 3) farmers carry 50 m, 2 x 24 kg 4) rest</t>
        </is>
      </c>
      <c r="F5" s="49" t="inlineStr">
        <is>
          <t>4 x 600 m, 90 s rest
Then arms block A, 3 sets each: Lateral raises 3x12-15, incline DB curls 3x10, overhead triceps ext 3x10, hanging leg raises 3x10-12</t>
        </is>
      </c>
      <c r="G5" s="49" t="inlineStr">
        <is>
          <t>Weighted pull ups 3 x 5 @ 80%, DB bench 3 x 8 @ 80%.
Then arms block B: Face pulls 3x15, Bayesian cable curls 3x10-12, hammer curls 3x10-12, cable crunch 3x10
Finisher: EMOM 12 min: 1) SkiErg 150 m 2) 15 wall balls 3) row 150 m 4) rest</t>
        </is>
      </c>
      <c r="H5" s="49" t="inlineStr">
        <is>
          <t>Half sim, 75%, half volume, stations 1 to 4</t>
        </is>
      </c>
      <c r="I5" s="49" t="inlineStr">
        <is>
          <t>Easy run 30 to 40 min in zone 2: 130 to 140 bpm, full sentences, slow is fine (about 5 km)</t>
        </is>
      </c>
      <c r="J5" s="49" t="n">
        <v>11.4</v>
      </c>
      <c r="K5" s="58" t="n"/>
      <c r="L5" s="59" t="n"/>
    </row>
    <row r="6" ht="68.65000000000001" customHeight="1" s="39">
      <c r="A6" s="56" t="n">
        <v>5</v>
      </c>
      <c r="B6" s="57">
        <f>Overview!$B$5+7*(A6-1)</f>
        <v/>
      </c>
      <c r="C6" s="56" t="inlineStr">
        <is>
          <t>Base</t>
        </is>
      </c>
      <c r="D6" s="49" t="inlineStr">
        <is>
          <t>Aerobic base, station technique, strength endurance</t>
        </is>
      </c>
      <c r="E6" s="49" t="inlineStr">
        <is>
          <t>Trap bar DL 3 x 5 heavy. Hack squat 3 x 8 @ RPE 7. Cable crunch 3x10. EMOM 16 min (4 rounds), moderate: 1) sled push 20 m 2) 10 lunges/leg 10 kg 3) farmers carry 50 m, 2 x 28 kg (above race weight, grip) 4) rest</t>
        </is>
      </c>
      <c r="F6" s="49" t="inlineStr">
        <is>
          <t>4 x 1 km @ 10k pace, 2 min rest
Then arms block A: Lateral raises 4x12-15, incline DB curls 4x8-12, overhead triceps ext 3x10, hanging leg raises 3x10-12</t>
        </is>
      </c>
      <c r="G6" s="49" t="inlineStr">
        <is>
          <t>Weighted pull ups 3 x 5, DB bench 3 x 8.
Then arms block B: Face pulls 3x15, Bayesian cable curls 3x10-12, hammer curls 3x10-12
Finisher: EMOM 16 min: 1) SkiErg 150 m 2) 15 wall balls 3) row 150 m 4) rest</t>
        </is>
      </c>
      <c r="H6" s="49" t="inlineStr">
        <is>
          <t>Half sim, 75%: 4 x (1 km + stations 5 to 8 at half volume)</t>
        </is>
      </c>
      <c r="I6" s="49" t="inlineStr">
        <is>
          <t>Easy run 30 to 40 min in zone 2: 130 to 140 bpm, full sentences, slow is fine (about 5 km)</t>
        </is>
      </c>
      <c r="J6" s="49" t="n">
        <v>13</v>
      </c>
      <c r="K6" s="58" t="n"/>
      <c r="L6" s="59" t="n"/>
    </row>
    <row r="7" ht="68.65000000000001" customHeight="1" s="39">
      <c r="A7" s="56" t="n">
        <v>6</v>
      </c>
      <c r="B7" s="57">
        <f>Overview!$B$5+7*(A7-1)</f>
        <v/>
      </c>
      <c r="C7" s="56" t="inlineStr">
        <is>
          <t>Base</t>
        </is>
      </c>
      <c r="D7" s="49" t="inlineStr">
        <is>
          <t>Aerobic base, station technique, strength endurance</t>
        </is>
      </c>
      <c r="E7" s="49" t="inlineStr">
        <is>
          <t>Trap bar DL 3 x 5 heavy. Hack squat 3 x 8 @ RPE 7. Cable crunch 3x10. EMOM 16 min (4 rounds), moderate: 1) sled push 20 m (last round at race weight) 2) 10 lunges/leg 10 kg 3) farmers carry 50 m, 2 x 28 kg (above race weight, grip) 4) rest</t>
        </is>
      </c>
      <c r="F7" s="49" t="inlineStr">
        <is>
          <t>5 x 1 km @ 10k pace, 2 min rest
Then arms block A: Lateral raises 4x12-15, incline DB curls 4x8-12, overhead triceps ext 3x10, hanging leg raises 3x10-12</t>
        </is>
      </c>
      <c r="G7" s="49" t="inlineStr">
        <is>
          <t>Weighted pull ups 3 x 5, DB bench 3 x 8.
Then arms block B: Face pulls 3x15, Bayesian cable curls 3x10-12, hammer curls 3x10-12
Wall ball technique 2 x 10.
Finisher: EMOM 16 min: 1) SkiErg 150 m 2) 15 wall balls 3) row 150 m 4) rest</t>
        </is>
      </c>
      <c r="H7" s="49" t="inlineStr">
        <is>
          <t>Half sim, 75%, half volume, all 8 stations in race order: 8 x (500 m run + station at half volume)</t>
        </is>
      </c>
      <c r="I7" s="49" t="inlineStr">
        <is>
          <t>Easy run 30 to 40 min in zone 2: 130 to 140 bpm, full sentences, slow is fine (about 5 km)</t>
        </is>
      </c>
      <c r="J7" s="49" t="n">
        <v>14</v>
      </c>
      <c r="K7" s="58" t="n"/>
      <c r="L7" s="59" t="inlineStr">
        <is>
          <t>First time through all 8 stations in race order (half volume)</t>
        </is>
      </c>
    </row>
    <row r="8" ht="68.65000000000001" customHeight="1" s="39">
      <c r="A8" s="56" t="n">
        <v>7</v>
      </c>
      <c r="B8" s="57">
        <f>Overview!$B$5+7*(A8-1)</f>
        <v/>
      </c>
      <c r="C8" s="56" t="inlineStr">
        <is>
          <t>Base</t>
        </is>
      </c>
      <c r="D8" s="49" t="inlineStr">
        <is>
          <t>Aerobic base, station technique, strength endurance</t>
        </is>
      </c>
      <c r="E8" s="49" t="inlineStr">
        <is>
          <t>Trap bar DL 3 x 5 heavy. Hack squat 3 x 8 @ RPE 7. Cable crunch 3x10. EMOM 16 min (4 rounds), moderate: 1) sled push 20 m (last round at race weight) 2) 10 lunges/leg 10 kg 3) farmers carry 50 m, 2 x 28 kg (above race weight, grip) 4) rest</t>
        </is>
      </c>
      <c r="F8" s="49" t="inlineStr">
        <is>
          <t>5 x 1 km @ 10k pace, 90 s rest
Then arms block A: Lateral raises 4x12-15, incline DB curls 4x8-12, overhead triceps ext 3x10, hanging leg raises 3x10-12</t>
        </is>
      </c>
      <c r="G8" s="49" t="inlineStr">
        <is>
          <t>Weighted pull ups 3 x 5, DB bench 3 x 8.
Then arms block B: Face pulls 3x15, Bayesian cable curls 3x10-12, hammer curls 3x10-12
Wall ball technique 2 x 10.
Finisher: EMOM 16 min: 1) SkiErg 150 m 2) 15 wall balls 3) row 150 m 4) rest</t>
        </is>
      </c>
      <c r="H8" s="49" t="inlineStr">
        <is>
          <t>Half sim, 75%: 4 x (1 km + stations 5 to 8 at half volume)</t>
        </is>
      </c>
      <c r="I8" s="49" t="inlineStr">
        <is>
          <t>Easy run 30 to 40 min in zone 2: 130 to 140 bpm, full sentences, slow is fine (about 5 km)</t>
        </is>
      </c>
      <c r="J8" s="49" t="n">
        <v>14</v>
      </c>
      <c r="K8" s="58" t="n"/>
      <c r="L8" s="59" t="n"/>
    </row>
    <row r="9" ht="57.45" customHeight="1" s="39">
      <c r="A9" s="56" t="n">
        <v>8</v>
      </c>
      <c r="B9" s="57">
        <f>Overview!$B$5+7*(A9-1)</f>
        <v/>
      </c>
      <c r="C9" s="56" t="inlineStr">
        <is>
          <t>Base</t>
        </is>
      </c>
      <c r="D9" s="49" t="inlineStr">
        <is>
          <t>Deload + benchmarks</t>
        </is>
      </c>
      <c r="E9" s="49" t="inlineStr">
        <is>
          <t>Trap bar DL 3 x 5 @ 80%. Hack squat 3 x 8 @ 80%. Cable crunch 3x10. EMOM 12 min (3 rounds), normal loads: 1) sled push 20 m 2) 10 lunges/leg 10 kg 3) farmers carry 50 m, 2 x 28 kg (above race weight, grip) 4) rest</t>
        </is>
      </c>
      <c r="F9" s="49" t="inlineStr">
        <is>
          <t>4 x 1 km @ 10k pace, 2 min rest
Then arms block A, 3 sets each: Lateral raises 3x12-15, incline DB curls 3x8-12, overhead triceps ext 3x10, hanging leg raises 3x10-12</t>
        </is>
      </c>
      <c r="G9" s="49" t="inlineStr">
        <is>
          <t>Weighted pull ups 3 x 5 @ 80%, DB bench 3 x 8 @ 80%.
Then arms block B: Face pulls 3x15, Bayesian cable curls 3x10-12, hammer curls 3x10-12
Wall ball technique 2 x 10.
Finisher: EMOM 12 min: 1) SkiErg 150 m 2) 15 wall balls 3) row 150 m 4) rest</t>
        </is>
      </c>
      <c r="H9" s="49" t="inlineStr">
        <is>
          <t>Half sim, 75%, half volume, stations 5 to 8</t>
        </is>
      </c>
      <c r="I9" s="49" t="inlineStr">
        <is>
          <t>Easy run 30 to 40 min in zone 2: 130 to 140 bpm, full sentences, slow is fine (about 5 km)</t>
        </is>
      </c>
      <c r="J9" s="49" t="n">
        <v>13</v>
      </c>
      <c r="K9" s="58" t="n"/>
      <c r="L9" s="59" t="inlineStr">
        <is>
          <t>BENCHMARK WEEK: see Benchmarks tab</t>
        </is>
      </c>
    </row>
    <row r="10" ht="68.65000000000001" customHeight="1" s="39">
      <c r="A10" s="60" t="n">
        <v>9</v>
      </c>
      <c r="B10" s="61">
        <f>Overview!$B$5+7*(A10-1)</f>
        <v/>
      </c>
      <c r="C10" s="60" t="inlineStr">
        <is>
          <t>Build 1</t>
        </is>
      </c>
      <c r="D10" s="49" t="inlineStr">
        <is>
          <t>Race pace running, station endurance at race weights</t>
        </is>
      </c>
      <c r="E10" s="49" t="inlineStr">
        <is>
          <t>Back squat 3 x 5. RDL 3 x 8 @ RPE 7. Cable crunch 3x10. EMOM 16 min (4 rounds, shorter: full sim Saturday): 1) sled push 25 m race weight 2) sandbag lunges 20 m, 20 kg 3) farmers 60 m, 2 x 32 kg (above race weight, grip) 4) sled pull 12.5 m race weight</t>
        </is>
      </c>
      <c r="F10" s="49" t="inlineStr">
        <is>
          <t>6 x 1 km @ race pace, 90 s rest
Then arms block A: Lateral raises 4x12-15, incline DB curls 4x8-12, overhead triceps ext 3x10, hanging leg raises 3x10-12</t>
        </is>
      </c>
      <c r="G10" s="49" t="inlineStr">
        <is>
          <t>Weighted pull ups 3 x 5, OHP 3 x 5.
Then arms block B: Face pulls 3x15, Bayesian cable curls 3x10-12, hammer curls 3x10-12
Wall ball technique 2 x 10.
Finisher: EMOM 20 min: 1) SkiErg 200 m 2) 20 wall balls 3) 8 burpee broad jumps 4) row 200 m</t>
        </is>
      </c>
      <c r="H10" s="49" t="inlineStr">
        <is>
          <t>FULL SIM at 85%: all 8, record splits</t>
        </is>
      </c>
      <c r="I10" s="49" t="inlineStr">
        <is>
          <t>Easy run 30 to 40 min in zone 2: 130 to 140 bpm, full sentences, slow is fine (about 5 km)</t>
        </is>
      </c>
      <c r="J10" s="49" t="n">
        <v>19</v>
      </c>
      <c r="K10" s="58" t="n"/>
      <c r="L10" s="59" t="inlineStr">
        <is>
          <t>First full sim (moved up from week 19 for Nashville). Full sim again in week 19</t>
        </is>
      </c>
    </row>
    <row r="11" ht="68.65000000000001" customHeight="1" s="39">
      <c r="A11" s="60" t="n">
        <v>10</v>
      </c>
      <c r="B11" s="61">
        <f>Overview!$B$5+7*(A11-1)</f>
        <v/>
      </c>
      <c r="C11" s="60" t="inlineStr">
        <is>
          <t>Build 1</t>
        </is>
      </c>
      <c r="D11" s="49" t="inlineStr">
        <is>
          <t>Race pace running, station endurance at race weights</t>
        </is>
      </c>
      <c r="E11" s="49" t="inlineStr">
        <is>
          <t>Back squat 3 x 5. RDL 3 x 8 @ RPE 7. Cable crunch 3x10. EMOM 20 min (5 rounds): 1) sled push 25 m race weight 2) sandbag lunges 20 m, 20 kg 3) farmers 60 m, 2 x 32 kg (above race weight, grip) 4) sled pull 12.5 m race weight</t>
        </is>
      </c>
      <c r="F11" s="49" t="inlineStr">
        <is>
          <t>6 x 1 km @ race pace, 75 s rest
Then arms block A: Lateral raises 4x12-15, incline DB curls 4x8-12, overhead triceps ext 3x10, hanging leg raises 3x10-12</t>
        </is>
      </c>
      <c r="G11" s="49" t="inlineStr">
        <is>
          <t>Weighted pull ups 3 x 5, OHP 3 x 5.
Then arms block B: Face pulls 3x15, Bayesian cable curls 3x10-12, hammer curls 3x10-12
Wall ball technique 2 x 10.
Finisher: EMOM 20 min: 1) SkiErg 200 m 2) 20 wall balls 3) 8 burpee broad jumps 4) row 200 m</t>
        </is>
      </c>
      <c r="H11" s="49" t="inlineStr">
        <is>
          <t>Half sim, 75%, half volume: 4 x (500 m run + stations 5 to 8 at half volume). Sharpener before Nashville</t>
        </is>
      </c>
      <c r="I11" s="49" t="inlineStr">
        <is>
          <t>Easy run 30 to 40 min in zone 2: 130 to 140 bpm, full sentences, slow is fine (about 5 km)</t>
        </is>
      </c>
      <c r="J11" s="49" t="n">
        <v>13</v>
      </c>
      <c r="K11" s="58" t="n"/>
      <c r="L11" s="59" t="n"/>
    </row>
    <row r="12" ht="68.65000000000001" customHeight="1" s="39">
      <c r="A12" s="60" t="n">
        <v>11</v>
      </c>
      <c r="B12" s="61">
        <f>Overview!$B$5+7*(A12-1)</f>
        <v/>
      </c>
      <c r="C12" s="60" t="inlineStr">
        <is>
          <t>Build 1</t>
        </is>
      </c>
      <c r="D12" s="49" t="inlineStr">
        <is>
          <t>Race pace running, station endurance at race weights</t>
        </is>
      </c>
      <c r="E12" s="49" t="inlineStr">
        <is>
          <t>Back squat 3 x 5. RDL 3 x 8 @ RPE 7. Cable crunch 3x10. EMOM 20 min (5 rounds): 1) sled push 25 m race weight 2) sandbag lunges 20 m, 20 kg 3) farmers 60 m, 2 x 32 kg (above race weight, grip) 4) sled pull 12.5 m race weight</t>
        </is>
      </c>
      <c r="F12" s="49" t="inlineStr">
        <is>
          <t>3 x 2 km @ race pace, 2 min rest
Then arms block A: Lateral raises 4x12-15, incline DB curls 4x8-12, overhead triceps ext 3x10, hanging leg raises 3x10-12</t>
        </is>
      </c>
      <c r="G12" s="49" t="inlineStr">
        <is>
          <t>Weighted pull ups 3 x 5, OHP 3 x 5.
Then arms block B: Face pulls 3x15, Bayesian cable curls 3x10-12, hammer curls 3x10-12
Wall ball technique 2 x 10.
Finisher: EMOM 20 min: 1) SkiErg 200 m 2) 20 wall balls 3) 8 burpee broad jumps 4) row 200 m</t>
        </is>
      </c>
      <c r="H12" s="49" t="inlineStr">
        <is>
          <t>HYROX Nashville option (Dec 10 or 11, then this Saturday is rest). Else half sim, 80%: 4 x (1 km + stations 1 to 4 full volume)</t>
        </is>
      </c>
      <c r="I12" s="49" t="inlineStr">
        <is>
          <t>Optional: easy 20 to 30 min in zone 2, only if fresh after the race</t>
        </is>
      </c>
      <c r="J12" s="49" t="n">
        <v>10</v>
      </c>
      <c r="K12" s="58" t="n"/>
      <c r="L12" s="59" t="inlineStr">
        <is>
          <t>If racing Nashville: Mon at about 80% loads, Tue 20 min easy, no hockey, the race replaces Fri and Sat</t>
        </is>
      </c>
    </row>
    <row r="13" ht="57.45" customHeight="1" s="39">
      <c r="A13" s="60" t="n">
        <v>12</v>
      </c>
      <c r="B13" s="61">
        <f>Overview!$B$5+7*(A13-1)</f>
        <v/>
      </c>
      <c r="C13" s="60" t="inlineStr">
        <is>
          <t>Build 1</t>
        </is>
      </c>
      <c r="D13" s="49" t="inlineStr">
        <is>
          <t>Deload</t>
        </is>
      </c>
      <c r="E13" s="49" t="inlineStr">
        <is>
          <t>Back squat 3 x 5 @ 80%. RDL 3 x 8 @ 80%. Cable crunch 3x10. EMOM 12 min (3 rounds), normal loads: 1) sled push 25 m race weight 2) sandbag lunges 20 m, 20 kg 3) farmers 60 m, 2 x 32 kg (above race weight, grip) 4) sled pull 12.5 m race weight</t>
        </is>
      </c>
      <c r="F13" s="49" t="inlineStr">
        <is>
          <t>4 x 1 km @ race pace, 2 min rest
Then arms block A, 3 sets each: Lateral raises 3x12-15, incline DB curls 3x8-12, overhead triceps ext 3x10, hanging leg raises 3x10-12</t>
        </is>
      </c>
      <c r="G13" s="49" t="inlineStr">
        <is>
          <t>Weighted pull ups 3 x 5 @ 80%, OHP 3 x 5 @ 80%.
Then arms block B: Face pulls 3x15, Bayesian cable curls 3x10-12, hammer curls 3x10-12
Wall ball technique 2 x 10.
Finisher: EMOM 12 min: 1) SkiErg 200 m 2) 20 wall balls 3) 8 burpee broad jumps 4) row 200 m</t>
        </is>
      </c>
      <c r="H13" s="49" t="inlineStr">
        <is>
          <t>Half sim, 75%, half volume, stations 5 to 8</t>
        </is>
      </c>
      <c r="I13" s="49" t="inlineStr">
        <is>
          <t>Easy run 30 to 40 min in zone 2: 130 to 140 bpm, full sentences, slow is fine (about 5 km)</t>
        </is>
      </c>
      <c r="J13" s="49" t="n">
        <v>13</v>
      </c>
      <c r="K13" s="58" t="n"/>
      <c r="L13" s="59" t="n"/>
    </row>
    <row r="14" ht="68.65000000000001" customHeight="1" s="39">
      <c r="A14" s="60" t="n">
        <v>13</v>
      </c>
      <c r="B14" s="61">
        <f>Overview!$B$5+7*(A14-1)</f>
        <v/>
      </c>
      <c r="C14" s="60" t="inlineStr">
        <is>
          <t>Build 1</t>
        </is>
      </c>
      <c r="D14" s="49" t="inlineStr">
        <is>
          <t>Race pace running, station endurance at race weights</t>
        </is>
      </c>
      <c r="E14" s="49" t="inlineStr">
        <is>
          <t>Back squat 3 x 5. RDL 3 x 8 @ RPE 7. Cable crunch 3x10. EMOM 20 min (5 rounds): 1) sled push 25 m race weight 2) sandbag lunges 20 m, 20 kg 3) farmers 60 m, 2 x 32 kg (above race weight, grip) 4) sled pull 12.5 m race weight</t>
        </is>
      </c>
      <c r="F14" s="49" t="inlineStr">
        <is>
          <t>Holiday week: 5 km tempo
Then arms block A: Lateral raises 4x12-15, incline DB curls 4x8-12, overhead triceps ext 3x10, hanging leg raises 3x10-12</t>
        </is>
      </c>
      <c r="G14" s="49" t="inlineStr">
        <is>
          <t>Weighted pull ups 3 x 5, OHP 3 x 5.
Then arms block B: Face pulls 3x15, Bayesian cable curls 3x10-12, hammer curls 3x10-12
Wall ball technique 2 x 10.
Finisher: EMOM 20 min: 1) SkiErg 200 m 2) 25 wall balls 3) 8 burpee broad jumps 4) row 200 m</t>
        </is>
      </c>
      <c r="H14" s="49" t="inlineStr">
        <is>
          <t>Holiday: half sim stations 5 to 8 full volume, 80%, or 30 min EMOM if gym closed</t>
        </is>
      </c>
      <c r="I14" s="49" t="inlineStr">
        <is>
          <t>Easy run 30 to 40 min in zone 2: 130 to 140 bpm, full sentences, slow is fine (about 5 km)</t>
        </is>
      </c>
      <c r="J14" s="49" t="n">
        <v>14</v>
      </c>
      <c r="K14" s="58" t="n"/>
      <c r="L14" s="59" t="inlineStr">
        <is>
          <t>Holidays: keep 3 sessions minimum</t>
        </is>
      </c>
    </row>
    <row r="15" ht="68.65000000000001" customHeight="1" s="39">
      <c r="A15" s="60" t="n">
        <v>14</v>
      </c>
      <c r="B15" s="61">
        <f>Overview!$B$5+7*(A15-1)</f>
        <v/>
      </c>
      <c r="C15" s="60" t="inlineStr">
        <is>
          <t>Build 1</t>
        </is>
      </c>
      <c r="D15" s="49" t="inlineStr">
        <is>
          <t>Race pace running, station endurance at race weights</t>
        </is>
      </c>
      <c r="E15" s="49" t="inlineStr">
        <is>
          <t>Back squat 3 x 5. RDL 3 x 8 @ RPE 7. Cable crunch 3x10. EMOM 20 min (5 rounds): 1) sled push 25 m race weight 2) sandbag lunges 20 m, 20 kg 3) farmers 60 m, 2 x 32 kg (above race weight, grip) 4) sled pull 12.5 m race weight</t>
        </is>
      </c>
      <c r="F15" s="49" t="inlineStr">
        <is>
          <t>8 x 1 km @ race pace, 60 s rest
Then arms block A: Lateral raises 4x12-15, incline DB curls 4x8-12, overhead triceps ext 3x10, hanging leg raises 3x10-12</t>
        </is>
      </c>
      <c r="G15" s="49" t="inlineStr">
        <is>
          <t>Weighted pull ups 3 x 5, OHP 3 x 5.
Then arms block B: Face pulls 3x15, Bayesian cable curls 3x10-12, hammer curls 3x10-12
Wall ball technique 2 x 10.
Finisher: EMOM 20 min: 1) SkiErg 200 m 2) 25 wall balls 3) 8 burpee broad jumps 4) row 200 m</t>
        </is>
      </c>
      <c r="H15" s="49" t="inlineStr">
        <is>
          <t>Half sim, 80%: 4 x (1 km + stations 1 to 4 full volume)</t>
        </is>
      </c>
      <c r="I15" s="49" t="inlineStr">
        <is>
          <t>Easy run 30 to 40 min in zone 2: 130 to 140 bpm, full sentences, slow is fine (about 5 km)</t>
        </is>
      </c>
      <c r="J15" s="49" t="n">
        <v>17</v>
      </c>
      <c r="K15" s="58" t="n"/>
      <c r="L15" s="59" t="n"/>
    </row>
    <row r="16" ht="68.65000000000001" customHeight="1" s="39">
      <c r="A16" s="62" t="n">
        <v>15</v>
      </c>
      <c r="B16" s="63">
        <f>Overview!$B$5+7*(A16-1)</f>
        <v/>
      </c>
      <c r="C16" s="62" t="inlineStr">
        <is>
          <t>Build 2</t>
        </is>
      </c>
      <c r="D16" s="49" t="inlineStr">
        <is>
          <t>Running after stations, long EMOMs, long sims</t>
        </is>
      </c>
      <c r="E16" s="49" t="inlineStr">
        <is>
          <t>Back squat 3 x 5. RDL 3 x 8 @ RPE 7. Cable crunch 3x10. EMOM 24 min: 1) sled push 15 m at 110% race weight 2) sandbag lunges 25 m, 25 kg (above race weight) 3) farmers 100 m, 2 x 30 kg (above race weight, grip) 4) sled pull 15 m at 110% race weight</t>
        </is>
      </c>
      <c r="F16" s="49" t="inlineStr">
        <is>
          <t>5 km tempo @ slightly faster than race pace
Then arms block A: Lateral raises 4x12-15, incline DB curls 4x8-12, overhead triceps ext 3x10, hanging leg raises 3x10-12</t>
        </is>
      </c>
      <c r="G16" s="49" t="inlineStr">
        <is>
          <t>Weighted pull ups 3 x 5, bench 3 x 5.
Then arms block B: Face pulls 3x15, Bayesian cable curls 3x10-12, hammer curls 3x10-12
Wall ball technique 2 x 10.
Finisher: EMOM 24 min: 1) SkiErg 250 m 2) 25 wall balls 9 kg (20 lb) 3) 10 burpee broad jumps 4) row 250 m</t>
        </is>
      </c>
      <c r="H16" s="49" t="inlineStr">
        <is>
          <t>Half sim, 85%: stations 1 to 4 full volume, 1 km runs at race pace</t>
        </is>
      </c>
      <c r="I16" s="49" t="inlineStr">
        <is>
          <t>Easy run 30 to 40 min in zone 2: 130 to 140 bpm, full sentences, slow is fine (about 5 km)</t>
        </is>
      </c>
      <c r="J16" s="49" t="n">
        <v>14</v>
      </c>
      <c r="K16" s="58" t="n"/>
      <c r="L16" s="59" t="n"/>
    </row>
    <row r="17" ht="57.45" customHeight="1" s="39">
      <c r="A17" s="62" t="n">
        <v>16</v>
      </c>
      <c r="B17" s="63">
        <f>Overview!$B$5+7*(A17-1)</f>
        <v/>
      </c>
      <c r="C17" s="62" t="inlineStr">
        <is>
          <t>Build 2</t>
        </is>
      </c>
      <c r="D17" s="49" t="inlineStr">
        <is>
          <t>Deload + benchmarks</t>
        </is>
      </c>
      <c r="E17" s="49" t="inlineStr">
        <is>
          <t>Back squat 3 x 5 @ 80%. RDL 3 x 8 @ 80%. Cable crunch 3x10. EMOM 12 min (3 rounds), normal loads: 1) sled push 15 m at 110% race weight 2) sandbag lunges 25 m, 25 kg (above race weight) 3) farmers 100 m, 2 x 30 kg (above race weight, grip) 4) sled pull 15 m at 110% race weight</t>
        </is>
      </c>
      <c r="F17" s="49" t="inlineStr">
        <is>
          <t>4 x 1 km @ race pace, 90 s rest
Then arms block A, 3 sets each: Lateral raises 3x12-15, incline DB curls 3x8-12, overhead triceps ext 3x10, hanging leg raises 3x10-12</t>
        </is>
      </c>
      <c r="G17" s="49" t="inlineStr">
        <is>
          <t>Weighted pull ups 3 x 5 @ 80%, bench 3 x 5 @ 80%.
Then arms block B: Face pulls 3x15, Bayesian cable curls 3x10-12, hammer curls 3x10-12
Wall ball technique 2 x 10.
Finisher: EMOM 12 min: 1) SkiErg 250 m 2) 25 wall balls 9 kg (20 lb) 3) 10 burpee broad jumps 4) row 250 m</t>
        </is>
      </c>
      <c r="H17" s="49" t="inlineStr">
        <is>
          <t>Half sim, 75%, stations 1 to 4 full volume</t>
        </is>
      </c>
      <c r="I17" s="49" t="inlineStr">
        <is>
          <t>Easy run 30 to 40 min in zone 2: 130 to 140 bpm, full sentences, slow is fine (about 5 km)</t>
        </is>
      </c>
      <c r="J17" s="49" t="n">
        <v>13</v>
      </c>
      <c r="K17" s="58" t="n"/>
      <c r="L17" s="59" t="inlineStr">
        <is>
          <t>BENCHMARK WEEK: see Benchmarks tab</t>
        </is>
      </c>
    </row>
    <row r="18" ht="68.65000000000001" customHeight="1" s="39">
      <c r="A18" s="62" t="n">
        <v>17</v>
      </c>
      <c r="B18" s="63">
        <f>Overview!$B$5+7*(A18-1)</f>
        <v/>
      </c>
      <c r="C18" s="62" t="inlineStr">
        <is>
          <t>Build 2</t>
        </is>
      </c>
      <c r="D18" s="49" t="inlineStr">
        <is>
          <t>Running after stations, long EMOMs, long sims</t>
        </is>
      </c>
      <c r="E18" s="49" t="inlineStr">
        <is>
          <t>Back squat 3 x 5. RDL 3 x 8 @ RPE 7. Cable crunch 3x10. EMOM 24 min: 1) sled push 15 m at 110% race weight 2) sandbag lunges 25 m, 25 kg (above race weight) 3) farmers 100 m, 2 x 30 kg (above race weight, grip) 4) sled pull 15 m at 110% race weight</t>
        </is>
      </c>
      <c r="F18" s="49" t="inlineStr">
        <is>
          <t>4 x 2 km @ race pace, 90 s rest
Then arms block A: Lateral raises 4x12-15, incline DB curls 4x8-12, overhead triceps ext 3x10, hanging leg raises 3x10-12</t>
        </is>
      </c>
      <c r="G18" s="49" t="inlineStr">
        <is>
          <t>Weighted pull ups 3 x 5, bench 3 x 5.
Then arms block B: Face pulls 3x15, Bayesian cable curls 3x10-12, hammer curls 3x10-12
Wall ball technique 2 x 10.
Finisher: EMOM 24 min: 1) SkiErg 250 m 2) 25 wall balls 9 kg (20 lb) 3) 10 burpee broad jumps 4) row 250 m</t>
        </is>
      </c>
      <c r="H18" s="49" t="inlineStr">
        <is>
          <t>Half sim, 85%: stations 5 to 8 full volume, 1 km runs at race pace</t>
        </is>
      </c>
      <c r="I18" s="49" t="inlineStr">
        <is>
          <t>Easy run 30 to 40 min in zone 2: 130 to 140 bpm, full sentences, slow is fine (about 5 km)</t>
        </is>
      </c>
      <c r="J18" s="49" t="n">
        <v>17</v>
      </c>
      <c r="K18" s="58" t="n"/>
      <c r="L18" s="59" t="n"/>
    </row>
    <row r="19" ht="68.65000000000001" customHeight="1" s="39">
      <c r="A19" s="62" t="n">
        <v>18</v>
      </c>
      <c r="B19" s="63">
        <f>Overview!$B$5+7*(A19-1)</f>
        <v/>
      </c>
      <c r="C19" s="62" t="inlineStr">
        <is>
          <t>Build 2</t>
        </is>
      </c>
      <c r="D19" s="49" t="inlineStr">
        <is>
          <t>Running after stations, long EMOMs, long sims</t>
        </is>
      </c>
      <c r="E19" s="49" t="inlineStr">
        <is>
          <t>Back squat 3 x 5. RDL 3 x 8 @ RPE 7. Cable crunch 3x10. EMOM 24 min: 1) sled push 15 m at 110% race weight 2) sandbag lunges 25 m, 25 kg (above race weight) 3) farmers 100 m, 2 x 30 kg (above race weight, grip) 4) sled pull 15 m at 110% race weight</t>
        </is>
      </c>
      <c r="F19" s="49" t="inlineStr">
        <is>
          <t>6 km tempo
Then arms block A: Lateral raises 4x12-15, incline DB curls 4x8-12, overhead triceps ext 3x10, hanging leg raises 3x10-12</t>
        </is>
      </c>
      <c r="G19" s="49" t="inlineStr">
        <is>
          <t>Weighted pull ups 3 x 5, bench 3 x 5.
Then arms block B: Face pulls 3x15, Bayesian cable curls 3x10-12, hammer curls 3x10-12
Wall ball technique 2 x 10.
Finisher: EMOM 24 min: 1) SkiErg 250 m 2) 25 wall balls 9 kg (20 lb) 3) 10 burpee broad jumps 4) row 250 m</t>
        </is>
      </c>
      <c r="H19" s="49" t="inlineStr">
        <is>
          <t>Half sim, 85%: stations 1 to 4, then 2 extra 1 km runs</t>
        </is>
      </c>
      <c r="I19" s="49" t="inlineStr">
        <is>
          <t>Easy run 30 to 40 min in zone 2: 130 to 140 bpm, full sentences, slow is fine (about 5 km)</t>
        </is>
      </c>
      <c r="J19" s="49" t="n">
        <v>17</v>
      </c>
      <c r="K19" s="58" t="n"/>
      <c r="L19" s="59" t="n"/>
    </row>
    <row r="20" ht="68.65000000000001" customHeight="1" s="39">
      <c r="A20" s="62" t="n">
        <v>19</v>
      </c>
      <c r="B20" s="63">
        <f>Overview!$B$5+7*(A20-1)</f>
        <v/>
      </c>
      <c r="C20" s="62" t="inlineStr">
        <is>
          <t>Build 2</t>
        </is>
      </c>
      <c r="D20" s="49" t="inlineStr">
        <is>
          <t>Running after stations, long EMOMs, long sims</t>
        </is>
      </c>
      <c r="E20" s="49" t="inlineStr">
        <is>
          <t>Back squat 3 x 5. RDL 3 x 8 @ RPE 7. Cable crunch 3x10. EMOM 16 min (shorter: full sim Saturday): 1) sled push 15 m at 110% race weight 2) sandbag lunges 25 m, 25 kg (above race weight) 3) farmers 100 m, 2 x 30 kg (above race weight, grip) 4) sled pull 15 m at 110% race weight</t>
        </is>
      </c>
      <c r="F20" s="49" t="inlineStr">
        <is>
          <t>Easy 5 km (full sim Saturday)
Then arms block A: Lateral raises 4x12-15, incline DB curls 4x8-12, overhead triceps ext 3x10, hanging leg raises 3x10-12</t>
        </is>
      </c>
      <c r="G20" s="49" t="inlineStr">
        <is>
          <t>Weighted pull ups 3 x 5, bench 3 x 5.
Then arms block B: Face pulls 3x15, Bayesian cable curls 3x10-12, hammer curls 3x10-12
Wall ball technique 2 x 10.
Finisher: EMOM 16 min (shorter: full sim Saturday): 1) SkiErg 250 m 2) 25 wall balls 9 kg (20 lb) 3) 10 burpee broad jumps 4) row 250 m</t>
        </is>
      </c>
      <c r="H20" s="49" t="inlineStr">
        <is>
          <t>FULL SIM at 80%: all 8, record splits</t>
        </is>
      </c>
      <c r="I20" s="49" t="inlineStr">
        <is>
          <t>Easy run 30 to 40 min in zone 2: 130 to 140 bpm, full sentences, slow is fine (about 5 km)</t>
        </is>
      </c>
      <c r="J20" s="49" t="n">
        <v>18</v>
      </c>
      <c r="K20" s="58" t="n"/>
      <c r="L20" s="59" t="inlineStr">
        <is>
          <t>First full sim this week</t>
        </is>
      </c>
    </row>
    <row r="21" ht="57.45" customHeight="1" s="39">
      <c r="A21" s="62" t="n">
        <v>20</v>
      </c>
      <c r="B21" s="63">
        <f>Overview!$B$5+7*(A21-1)</f>
        <v/>
      </c>
      <c r="C21" s="62" t="inlineStr">
        <is>
          <t>Build 2</t>
        </is>
      </c>
      <c r="D21" s="49" t="inlineStr">
        <is>
          <t>Deload + benchmarks</t>
        </is>
      </c>
      <c r="E21" s="49" t="inlineStr">
        <is>
          <t>Back squat 3 x 5 @ 80%. RDL 3 x 8 @ 80%. Cable crunch 3x10. EMOM 12 min (3 rounds), normal loads: 1) sled push 15 m at 110% race weight 2) sandbag lunges 25 m, 25 kg (above race weight) 3) farmers 100 m, 2 x 30 kg (above race weight, grip) 4) sled pull 15 m at 110% race weight</t>
        </is>
      </c>
      <c r="F21" s="49" t="inlineStr">
        <is>
          <t>4 x 1 km @ race pace, 90 s rest
Then arms block A, 3 sets each: Lateral raises 3x12-15, incline DB curls 3x8-12, overhead triceps ext 3x10, hanging leg raises 3x10-12</t>
        </is>
      </c>
      <c r="G21" s="49" t="inlineStr">
        <is>
          <t>Weighted pull ups 3 x 5 @ 80%, bench 3 x 5 @ 80%.
Then arms block B: Face pulls 3x15, Bayesian cable curls 3x10-12, hammer curls 3x10-12
Wall ball technique 2 x 10.
Finisher: EMOM 12 min: 1) SkiErg 250 m 2) 25 wall balls 9 kg (20 lb) 3) 10 burpee broad jumps 4) row 250 m</t>
        </is>
      </c>
      <c r="H21" s="49" t="inlineStr">
        <is>
          <t>Half sim, 75%, stations 5 to 8 full volume</t>
        </is>
      </c>
      <c r="I21" s="49" t="inlineStr">
        <is>
          <t>Easy run 30 to 40 min in zone 2: 130 to 140 bpm, full sentences, slow is fine (about 5 km)</t>
        </is>
      </c>
      <c r="J21" s="49" t="n">
        <v>13</v>
      </c>
      <c r="K21" s="58" t="n"/>
      <c r="L21" s="59" t="inlineStr">
        <is>
          <t>BENCHMARK WEEK: see Benchmarks tab</t>
        </is>
      </c>
    </row>
    <row r="22" ht="68.65000000000001" customHeight="1" s="39">
      <c r="A22" s="62" t="n">
        <v>21</v>
      </c>
      <c r="B22" s="63">
        <f>Overview!$B$5+7*(A22-1)</f>
        <v/>
      </c>
      <c r="C22" s="62" t="inlineStr">
        <is>
          <t>Build 2</t>
        </is>
      </c>
      <c r="D22" s="49" t="inlineStr">
        <is>
          <t>Running after stations, long EMOMs, long sims</t>
        </is>
      </c>
      <c r="E22" s="49" t="inlineStr">
        <is>
          <t>Back squat 3 x 5. RDL 3 x 8 @ RPE 7. Cable crunch 3x10. EMOM 16 min (shorter: full sim Saturday): 1) sled push 15 m at 110% race weight 2) sandbag lunges 25 m, 25 kg (above race weight) 3) farmers 100 m, 2 x 30 kg (above race weight, grip) 4) sled pull 15 m at 110% race weight</t>
        </is>
      </c>
      <c r="F22" s="49" t="inlineStr">
        <is>
          <t>3 x 3 km @ race pace, 2 min rest
Then arms block A: Lateral raises 4x12-15, incline DB curls 4x8-12, overhead triceps ext 3x10, hanging leg raises 3x10-12</t>
        </is>
      </c>
      <c r="G22" s="49" t="inlineStr">
        <is>
          <t>Weighted pull ups 3 x 5, bench 3 x 5.
Then arms block B: Face pulls 3x15, Bayesian cable curls 3x10-12, hammer curls 3x10-12
Wall ball technique 2 x 10.
Finisher: EMOM 16 min (shorter: full sim Saturday): 1) SkiErg 250 m 2) 25 wall balls 9 kg (20 lb) 3) 10 burpee broad jumps 4) row 250 m</t>
        </is>
      </c>
      <c r="H22" s="49" t="inlineStr">
        <is>
          <t>FULL SIM at 90%: all 8, record splits</t>
        </is>
      </c>
      <c r="I22" s="49" t="inlineStr">
        <is>
          <t>Easy run 30 to 40 min in zone 2: 130 to 140 bpm, full sentences, slow is fine (about 5 km)</t>
        </is>
      </c>
      <c r="J22" s="49" t="n">
        <v>22</v>
      </c>
      <c r="K22" s="58" t="n"/>
      <c r="L22" s="59" t="n"/>
    </row>
    <row r="23" ht="68.65000000000001" customHeight="1" s="39">
      <c r="A23" s="64" t="n">
        <v>22</v>
      </c>
      <c r="B23" s="65">
        <f>Overview!$B$5+7*(A23-1)</f>
        <v/>
      </c>
      <c r="C23" s="64" t="inlineStr">
        <is>
          <t>Peak</t>
        </is>
      </c>
      <c r="D23" s="49" t="inlineStr">
        <is>
          <t>Race specific sharpening</t>
        </is>
      </c>
      <c r="E23" s="49" t="inlineStr">
        <is>
          <t>Squat 3 x 3. Cable crunch 3x10. EMOM 20 min at race weight and race effort: 1) sled push 25 m 2) lunges 25 m 3) farmers 100 m 4) sled pull 25 m</t>
        </is>
      </c>
      <c r="F23" s="49" t="inlineStr">
        <is>
          <t>6 x 1 km @ race pace, 60 s rest
Then arms block A: Lateral raises 4x12-15, incline DB curls 4x8-12, overhead triceps ext 3x10, hanging leg raises 3x10-12</t>
        </is>
      </c>
      <c r="G23" s="49" t="inlineStr">
        <is>
          <t>Pull ups 3 x 5, press 3 x 5.
Then arms block B: Face pulls 3x15, Bayesian cable curls 3x10-12, hammer curls 3x10-12
Finisher: EMOM 20 min at race effort: 1) SkiErg 250 m 2) 25 wall balls 3) 10 burpee broad jumps 4) row 250 m</t>
        </is>
      </c>
      <c r="H23" s="49" t="inlineStr">
        <is>
          <t>Half sim at race pace, stations 1 to 4</t>
        </is>
      </c>
      <c r="I23" s="49" t="inlineStr">
        <is>
          <t>Easy run 30 to 40 min in zone 2: 130 to 140 bpm, full sentences, slow is fine (about 5 km)</t>
        </is>
      </c>
      <c r="J23" s="49" t="n">
        <v>15</v>
      </c>
      <c r="K23" s="58" t="n"/>
      <c r="L23" s="59" t="n"/>
    </row>
    <row r="24" ht="68.65000000000001" customHeight="1" s="39">
      <c r="A24" s="64" t="n">
        <v>23</v>
      </c>
      <c r="B24" s="65">
        <f>Overview!$B$5+7*(A24-1)</f>
        <v/>
      </c>
      <c r="C24" s="64" t="inlineStr">
        <is>
          <t>Peak</t>
        </is>
      </c>
      <c r="D24" s="49" t="inlineStr">
        <is>
          <t>Race specific sharpening</t>
        </is>
      </c>
      <c r="E24" s="49" t="inlineStr">
        <is>
          <t>Squat 3 x 3. Cable crunch 3x10. EMOM 20 min at race weight and race effort: 1) sled push 25 m 2) lunges 25 m 3) farmers 100 m 4) sled pull 25 m</t>
        </is>
      </c>
      <c r="F24" s="49" t="inlineStr">
        <is>
          <t>8 x 1 km @ race pace, 45 s rest
Then arms block A: Lateral raises 4x12-15, incline DB curls 4x8-12, overhead triceps ext 3x10, hanging leg raises 3x10-12</t>
        </is>
      </c>
      <c r="G24" s="49" t="inlineStr">
        <is>
          <t>Pull ups 3 x 5, press 3 x 5.
Then arms block B: Face pulls 3x15, Bayesian cable curls 3x10-12, hammer curls 3x10-12
Finisher: EMOM 20 min at race effort: 1) SkiErg 250 m 2) 25 wall balls 3) 10 burpee broad jumps 4) row 250 m</t>
        </is>
      </c>
      <c r="H24" s="49" t="inlineStr">
        <is>
          <t>Half sim at race pace, stations 5 to 8</t>
        </is>
      </c>
      <c r="I24" s="49" t="inlineStr">
        <is>
          <t>Easy run 30 to 40 min in zone 2: 130 to 140 bpm, full sentences, slow is fine (about 5 km)</t>
        </is>
      </c>
      <c r="J24" s="49" t="n">
        <v>17</v>
      </c>
      <c r="K24" s="58" t="n"/>
      <c r="L24" s="59" t="n"/>
    </row>
    <row r="25" ht="46.25" customHeight="1" s="39">
      <c r="A25" s="64" t="n">
        <v>24</v>
      </c>
      <c r="B25" s="65">
        <f>Overview!$B$5+7*(A25-1)</f>
        <v/>
      </c>
      <c r="C25" s="64" t="inlineStr">
        <is>
          <t>Peak</t>
        </is>
      </c>
      <c r="D25" s="49" t="inlineStr">
        <is>
          <t>Dress rehearsal</t>
        </is>
      </c>
      <c r="E25" s="49" t="inlineStr">
        <is>
          <t>Squat 2 x 3 light. EMOM 8 min light: sled push, lunges, farmers, rest</t>
        </is>
      </c>
      <c r="F25" s="49" t="inlineStr">
        <is>
          <t>Easy 5 km (dress rehearsal Saturday)
Then arms block A: Lateral raises 4x12-15, incline DB curls 4x8-12, overhead triceps ext 3x10, hanging leg raises 3x10-12</t>
        </is>
      </c>
      <c r="G25" s="49" t="inlineStr">
        <is>
          <t>Pull ups 2 x 5.
Then arms block B: Face pulls 3x15, Bayesian cable curls 3x10-12, hammer curls 3x10-12, cable crunch 3x10
Finisher: EMOM 8 min light: SkiErg, wall balls, row, rest</t>
        </is>
      </c>
      <c r="H25" s="49" t="inlineStr">
        <is>
          <t>FULL RACE SIMULATION: timed, race gear, race breakfast, race pacing</t>
        </is>
      </c>
      <c r="I25" s="49" t="inlineStr">
        <is>
          <t>Easy run 30 to 40 min in zone 2: 130 to 140 bpm, full sentences, slow is fine (about 5 km)</t>
        </is>
      </c>
      <c r="J25" s="49" t="n">
        <v>18</v>
      </c>
      <c r="K25" s="58" t="n"/>
      <c r="L25" s="59" t="inlineStr">
        <is>
          <t>3 weeks out</t>
        </is>
      </c>
    </row>
    <row r="26" ht="46.25" customHeight="1" s="39">
      <c r="A26" s="66" t="n">
        <v>25</v>
      </c>
      <c r="B26" s="67">
        <f>Overview!$B$5+7*(A26-1)</f>
        <v/>
      </c>
      <c r="C26" s="66" t="inlineStr">
        <is>
          <t>Taper</t>
        </is>
      </c>
      <c r="D26" s="49" t="inlineStr">
        <is>
          <t>Taper: volume down, intensity kept</t>
        </is>
      </c>
      <c r="E26" s="49" t="inlineStr">
        <is>
          <t>Squat 2 x 3. EMOM 12 min at race effort, short sets</t>
        </is>
      </c>
      <c r="F26" s="49" t="inlineStr">
        <is>
          <t>5 x 1 km @ race pace, 90 s rest
Then arms block A, 2 sets each: Lateral raises 4x12-15, incline DB curls 3x10, overhead triceps ext 3x10, hanging leg raises 3x10-12</t>
        </is>
      </c>
      <c r="G26" s="49" t="inlineStr">
        <is>
          <t>Pull ups 2 x 5.
Then arms block B, 2 sets each: Face pulls 3x15, cable crunch 3x10
Finisher: EMOM 12 min at race effort, short sets</t>
        </is>
      </c>
      <c r="H26" s="49" t="inlineStr">
        <is>
          <t>Half sim at race pace, stations 1 to 4 at half volume</t>
        </is>
      </c>
      <c r="I26" s="49" t="inlineStr">
        <is>
          <t>Easy run 30 min in zone 2: 130 to 140 bpm (taper)</t>
        </is>
      </c>
      <c r="J26" s="49" t="n">
        <v>13</v>
      </c>
      <c r="K26" s="58" t="n"/>
      <c r="L26" s="59" t="n"/>
    </row>
    <row r="27" ht="46.25" customHeight="1" s="39">
      <c r="A27" s="66" t="n">
        <v>26</v>
      </c>
      <c r="B27" s="67">
        <f>Overview!$B$5+7*(A27-1)</f>
        <v/>
      </c>
      <c r="C27" s="66" t="inlineStr">
        <is>
          <t>Taper</t>
        </is>
      </c>
      <c r="D27" s="49" t="inlineStr">
        <is>
          <t>Taper + travel</t>
        </is>
      </c>
      <c r="E27" s="49" t="inlineStr">
        <is>
          <t>Squat 2x3 light, sled 2 x 25 m</t>
        </is>
      </c>
      <c r="F27" s="49" t="inlineStr">
        <is>
          <t>4 x 1 km @ race pace
Then arms block A, 2 sets each: Lateral raises 4x12-15, incline DB curls 3x10, overhead triceps ext 3x10, hanging leg raises 3x10-12</t>
        </is>
      </c>
      <c r="G27" s="49" t="inlineStr">
        <is>
          <t>Last home session: 20 min easy run + mobility (no arms block)</t>
        </is>
      </c>
      <c r="H27" s="49" t="inlineStr">
        <is>
          <t>FLY TO BRISBANE (about Mar 27)</t>
        </is>
      </c>
      <c r="I27" s="49" t="inlineStr">
        <is>
          <t>In transit to Brisbane</t>
        </is>
      </c>
      <c r="J27" s="49" t="n">
        <v>4</v>
      </c>
      <c r="K27" s="58" t="n"/>
      <c r="L27" s="59" t="inlineStr">
        <is>
          <t>No hockey. Shift bedtime 1 h earlier each night from Monday</t>
        </is>
      </c>
    </row>
    <row r="28" ht="23.85" customHeight="1" s="39">
      <c r="A28" s="68" t="n">
        <v>27</v>
      </c>
      <c r="B28" s="69">
        <f>Overview!$B$5+7*(A28-1)</f>
        <v/>
      </c>
      <c r="C28" s="68" t="inlineStr">
        <is>
          <t>Race</t>
        </is>
      </c>
      <c r="D28" s="49" t="inlineStr">
        <is>
          <t>RACE WEEK in Brisbane</t>
        </is>
      </c>
      <c r="E28" s="49" t="inlineStr">
        <is>
          <t>Land Mon Mar 29: 20 min easy walk or jog in morning sun, stay up until local night</t>
        </is>
      </c>
      <c r="F28" s="49" t="inlineStr">
        <is>
          <t>Brisbane gym: 3 x 1 km @ race pace + light sled and 20 wall balls</t>
        </is>
      </c>
      <c r="G28" s="49" t="inlineStr">
        <is>
          <t>Wed: rest. Thu: 15 min shakeout + 4 strides. Fri: rest, carb up</t>
        </is>
      </c>
      <c r="H28" s="49" t="inlineStr">
        <is>
          <t>RACE (Sat Apr 3 or Sun Apr 4)</t>
        </is>
      </c>
      <c r="I28" s="49" t="inlineStr">
        <is>
          <t>Rest</t>
        </is>
      </c>
      <c r="J28" s="49" t="n">
        <v>11</v>
      </c>
      <c r="K28" s="58" t="n"/>
      <c r="L28" s="59" t="inlineStr">
        <is>
          <t>No hockey. Race Sunday if you got a Sunday heat</t>
        </is>
      </c>
    </row>
    <row r="30" ht="15" customHeight="1" s="39">
      <c r="A30" s="41" t="inlineStr">
        <is>
          <t>Weeks done</t>
        </is>
      </c>
      <c r="B30" s="42">
        <f>COUNTIF(K2:K28,"Y")</f>
        <v/>
      </c>
    </row>
    <row r="31" ht="15" customHeight="1" s="39">
      <c r="A31" s="41" t="inlineStr">
        <is>
          <t>Completion</t>
        </is>
      </c>
      <c r="B31" s="70">
        <f>B30/27</f>
        <v/>
      </c>
    </row>
    <row r="32" ht="15" customHeight="1" s="39">
      <c r="A32" s="45" t="inlineStr">
        <is>
          <t>K2 shows the format (Y). Clear it if week 1 isn't done yet.</t>
        </is>
      </c>
    </row>
  </sheetData>
  <dataValidations count="1">
    <dataValidation sqref="K2:K28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8" min="1" max="1"/>
    <col width="7" customWidth="1" style="38" min="2" max="2"/>
    <col width="22" customWidth="1" style="38" min="3" max="3"/>
    <col width="9" customWidth="1" style="38" min="4" max="4"/>
    <col width="14" customWidth="1" style="38" min="5" max="5"/>
    <col width="40" customWidth="1" style="38" min="6" max="6"/>
    <col width="10" customWidth="1" style="38" min="7" max="7"/>
    <col width="12" customWidth="1" style="38" min="8" max="8"/>
    <col width="30" customWidth="1" style="38" min="9" max="9"/>
  </cols>
  <sheetData>
    <row r="1" ht="23.85" customHeight="1" s="39">
      <c r="A1" s="48" t="inlineStr">
        <is>
          <t>Date</t>
        </is>
      </c>
      <c r="B1" s="48" t="inlineStr">
        <is>
          <t>Week</t>
        </is>
      </c>
      <c r="C1" s="48" t="inlineStr">
        <is>
          <t>Session</t>
        </is>
      </c>
      <c r="D1" s="48" t="inlineStr">
        <is>
          <t>Run km</t>
        </is>
      </c>
      <c r="E1" s="48" t="inlineStr">
        <is>
          <t>Avg 1 km pace (m:ss)</t>
        </is>
      </c>
      <c r="F1" s="48" t="inlineStr">
        <is>
          <t>Station notes / times</t>
        </is>
      </c>
      <c r="G1" s="48" t="inlineStr">
        <is>
          <t>RPE (1 to 10)</t>
        </is>
      </c>
      <c r="H1" s="48" t="inlineStr">
        <is>
          <t>Knee pain (0 to 10)</t>
        </is>
      </c>
      <c r="I1" s="48" t="inlineStr">
        <is>
          <t>Notes</t>
        </is>
      </c>
      <c r="K1" s="45" t="inlineStr">
        <is>
          <t>Knee pain 4+ turns red. Pace entered as m:ss, e.g. 5:10.</t>
        </is>
      </c>
    </row>
    <row r="2" ht="15" customHeight="1" s="39">
      <c r="A2" s="71" t="n">
        <v>46293</v>
      </c>
      <c r="B2" s="72">
        <f>IF(A2="","",INT((A2-Overview!$B$5)/7)+1)</f>
        <v/>
      </c>
      <c r="C2" s="73" t="inlineStr">
        <is>
          <t>Mon: Lower + EMOM</t>
        </is>
      </c>
      <c r="D2" s="73" t="n">
        <v>0</v>
      </c>
      <c r="E2" s="74" t="n"/>
      <c r="F2" s="73" t="inlineStr">
        <is>
          <t>EMOM 16 min: sled 20 m, 10 lunges/leg, 15 wall balls. All rounds with 15+ s rest</t>
        </is>
      </c>
      <c r="G2" s="73" t="n">
        <v>7</v>
      </c>
      <c r="H2" s="73" t="n">
        <v>1</v>
      </c>
      <c r="I2" s="73" t="inlineStr">
        <is>
          <t>Example row, overwrite</t>
        </is>
      </c>
    </row>
    <row r="3" ht="15" customHeight="1" s="39">
      <c r="A3" s="71" t="n"/>
      <c r="B3" s="72">
        <f>IF(A3="","",INT((A3-Overview!$B$5)/7)+1)</f>
        <v/>
      </c>
      <c r="C3" s="73" t="n"/>
      <c r="D3" s="73" t="n"/>
      <c r="E3" s="74" t="n"/>
      <c r="F3" s="73" t="n"/>
      <c r="G3" s="73" t="n"/>
      <c r="H3" s="73" t="n"/>
      <c r="I3" s="73" t="n"/>
    </row>
    <row r="4" ht="15" customHeight="1" s="39">
      <c r="A4" s="71" t="n"/>
      <c r="B4" s="72">
        <f>IF(A4="","",INT((A4-Overview!$B$5)/7)+1)</f>
        <v/>
      </c>
      <c r="C4" s="73" t="n"/>
      <c r="D4" s="73" t="n"/>
      <c r="E4" s="74" t="n"/>
      <c r="F4" s="73" t="n"/>
      <c r="G4" s="73" t="n"/>
      <c r="H4" s="73" t="n"/>
      <c r="I4" s="73" t="n"/>
    </row>
    <row r="5" ht="15" customHeight="1" s="39">
      <c r="A5" s="71" t="n"/>
      <c r="B5" s="72">
        <f>IF(A5="","",INT((A5-Overview!$B$5)/7)+1)</f>
        <v/>
      </c>
      <c r="C5" s="73" t="n"/>
      <c r="D5" s="73" t="n"/>
      <c r="E5" s="74" t="n"/>
      <c r="F5" s="73" t="n"/>
      <c r="G5" s="73" t="n"/>
      <c r="H5" s="73" t="n"/>
      <c r="I5" s="73" t="n"/>
    </row>
    <row r="6" ht="15" customHeight="1" s="39">
      <c r="A6" s="71" t="n"/>
      <c r="B6" s="72">
        <f>IF(A6="","",INT((A6-Overview!$B$5)/7)+1)</f>
        <v/>
      </c>
      <c r="C6" s="73" t="n"/>
      <c r="D6" s="73" t="n"/>
      <c r="E6" s="74" t="n"/>
      <c r="F6" s="73" t="n"/>
      <c r="G6" s="73" t="n"/>
      <c r="H6" s="73" t="n"/>
      <c r="I6" s="73" t="n"/>
    </row>
    <row r="7" ht="15" customHeight="1" s="39">
      <c r="A7" s="71" t="n"/>
      <c r="B7" s="72">
        <f>IF(A7="","",INT((A7-Overview!$B$5)/7)+1)</f>
        <v/>
      </c>
      <c r="C7" s="73" t="n"/>
      <c r="D7" s="73" t="n"/>
      <c r="E7" s="74" t="n"/>
      <c r="F7" s="73" t="n"/>
      <c r="G7" s="73" t="n"/>
      <c r="H7" s="73" t="n"/>
      <c r="I7" s="73" t="n"/>
    </row>
    <row r="8" ht="15" customHeight="1" s="39">
      <c r="A8" s="71" t="n"/>
      <c r="B8" s="72">
        <f>IF(A8="","",INT((A8-Overview!$B$5)/7)+1)</f>
        <v/>
      </c>
      <c r="C8" s="73" t="n"/>
      <c r="D8" s="73" t="n"/>
      <c r="E8" s="74" t="n"/>
      <c r="F8" s="73" t="n"/>
      <c r="G8" s="73" t="n"/>
      <c r="H8" s="73" t="n"/>
      <c r="I8" s="73" t="n"/>
    </row>
    <row r="9" ht="15" customHeight="1" s="39">
      <c r="A9" s="71" t="n"/>
      <c r="B9" s="72">
        <f>IF(A9="","",INT((A9-Overview!$B$5)/7)+1)</f>
        <v/>
      </c>
      <c r="C9" s="73" t="n"/>
      <c r="D9" s="73" t="n"/>
      <c r="E9" s="74" t="n"/>
      <c r="F9" s="73" t="n"/>
      <c r="G9" s="73" t="n"/>
      <c r="H9" s="73" t="n"/>
      <c r="I9" s="73" t="n"/>
    </row>
    <row r="10" ht="15" customHeight="1" s="39">
      <c r="A10" s="71" t="n"/>
      <c r="B10" s="72">
        <f>IF(A10="","",INT((A10-Overview!$B$5)/7)+1)</f>
        <v/>
      </c>
      <c r="C10" s="73" t="n"/>
      <c r="D10" s="73" t="n"/>
      <c r="E10" s="74" t="n"/>
      <c r="F10" s="73" t="n"/>
      <c r="G10" s="73" t="n"/>
      <c r="H10" s="73" t="n"/>
      <c r="I10" s="73" t="n"/>
    </row>
    <row r="11" ht="15" customHeight="1" s="39">
      <c r="A11" s="71" t="n"/>
      <c r="B11" s="72">
        <f>IF(A11="","",INT((A11-Overview!$B$5)/7)+1)</f>
        <v/>
      </c>
      <c r="C11" s="73" t="n"/>
      <c r="D11" s="73" t="n"/>
      <c r="E11" s="74" t="n"/>
      <c r="F11" s="73" t="n"/>
      <c r="G11" s="73" t="n"/>
      <c r="H11" s="73" t="n"/>
      <c r="I11" s="73" t="n"/>
    </row>
    <row r="12" ht="15" customHeight="1" s="39">
      <c r="A12" s="71" t="n"/>
      <c r="B12" s="72">
        <f>IF(A12="","",INT((A12-Overview!$B$5)/7)+1)</f>
        <v/>
      </c>
      <c r="C12" s="73" t="n"/>
      <c r="D12" s="73" t="n"/>
      <c r="E12" s="74" t="n"/>
      <c r="F12" s="73" t="n"/>
      <c r="G12" s="73" t="n"/>
      <c r="H12" s="73" t="n"/>
      <c r="I12" s="73" t="n"/>
    </row>
    <row r="13" ht="15" customHeight="1" s="39">
      <c r="A13" s="71" t="n"/>
      <c r="B13" s="72">
        <f>IF(A13="","",INT((A13-Overview!$B$5)/7)+1)</f>
        <v/>
      </c>
      <c r="C13" s="73" t="n"/>
      <c r="D13" s="73" t="n"/>
      <c r="E13" s="74" t="n"/>
      <c r="F13" s="73" t="n"/>
      <c r="G13" s="73" t="n"/>
      <c r="H13" s="73" t="n"/>
      <c r="I13" s="73" t="n"/>
    </row>
    <row r="14" ht="15" customHeight="1" s="39">
      <c r="A14" s="71" t="n"/>
      <c r="B14" s="72">
        <f>IF(A14="","",INT((A14-Overview!$B$5)/7)+1)</f>
        <v/>
      </c>
      <c r="C14" s="73" t="n"/>
      <c r="D14" s="73" t="n"/>
      <c r="E14" s="74" t="n"/>
      <c r="F14" s="73" t="n"/>
      <c r="G14" s="73" t="n"/>
      <c r="H14" s="73" t="n"/>
      <c r="I14" s="73" t="n"/>
    </row>
    <row r="15" ht="15" customHeight="1" s="39">
      <c r="A15" s="71" t="n"/>
      <c r="B15" s="72">
        <f>IF(A15="","",INT((A15-Overview!$B$5)/7)+1)</f>
        <v/>
      </c>
      <c r="C15" s="73" t="n"/>
      <c r="D15" s="73" t="n"/>
      <c r="E15" s="74" t="n"/>
      <c r="F15" s="73" t="n"/>
      <c r="G15" s="73" t="n"/>
      <c r="H15" s="73" t="n"/>
      <c r="I15" s="73" t="n"/>
    </row>
    <row r="16" ht="15" customHeight="1" s="39">
      <c r="A16" s="71" t="n"/>
      <c r="B16" s="72">
        <f>IF(A16="","",INT((A16-Overview!$B$5)/7)+1)</f>
        <v/>
      </c>
      <c r="C16" s="73" t="n"/>
      <c r="D16" s="73" t="n"/>
      <c r="E16" s="74" t="n"/>
      <c r="F16" s="73" t="n"/>
      <c r="G16" s="73" t="n"/>
      <c r="H16" s="73" t="n"/>
      <c r="I16" s="73" t="n"/>
    </row>
    <row r="17" ht="15" customHeight="1" s="39">
      <c r="A17" s="71" t="n"/>
      <c r="B17" s="72">
        <f>IF(A17="","",INT((A17-Overview!$B$5)/7)+1)</f>
        <v/>
      </c>
      <c r="C17" s="73" t="n"/>
      <c r="D17" s="73" t="n"/>
      <c r="E17" s="74" t="n"/>
      <c r="F17" s="73" t="n"/>
      <c r="G17" s="73" t="n"/>
      <c r="H17" s="73" t="n"/>
      <c r="I17" s="73" t="n"/>
    </row>
    <row r="18" ht="15" customHeight="1" s="39">
      <c r="A18" s="71" t="n"/>
      <c r="B18" s="72">
        <f>IF(A18="","",INT((A18-Overview!$B$5)/7)+1)</f>
        <v/>
      </c>
      <c r="C18" s="73" t="n"/>
      <c r="D18" s="73" t="n"/>
      <c r="E18" s="74" t="n"/>
      <c r="F18" s="73" t="n"/>
      <c r="G18" s="73" t="n"/>
      <c r="H18" s="73" t="n"/>
      <c r="I18" s="73" t="n"/>
    </row>
    <row r="19" ht="15" customHeight="1" s="39">
      <c r="A19" s="71" t="n"/>
      <c r="B19" s="72">
        <f>IF(A19="","",INT((A19-Overview!$B$5)/7)+1)</f>
        <v/>
      </c>
      <c r="C19" s="73" t="n"/>
      <c r="D19" s="73" t="n"/>
      <c r="E19" s="74" t="n"/>
      <c r="F19" s="73" t="n"/>
      <c r="G19" s="73" t="n"/>
      <c r="H19" s="73" t="n"/>
      <c r="I19" s="73" t="n"/>
    </row>
    <row r="20" ht="15" customHeight="1" s="39">
      <c r="A20" s="71" t="n"/>
      <c r="B20" s="72">
        <f>IF(A20="","",INT((A20-Overview!$B$5)/7)+1)</f>
        <v/>
      </c>
      <c r="C20" s="73" t="n"/>
      <c r="D20" s="73" t="n"/>
      <c r="E20" s="74" t="n"/>
      <c r="F20" s="73" t="n"/>
      <c r="G20" s="73" t="n"/>
      <c r="H20" s="73" t="n"/>
      <c r="I20" s="73" t="n"/>
    </row>
    <row r="21" ht="15" customHeight="1" s="39">
      <c r="A21" s="71" t="n"/>
      <c r="B21" s="72">
        <f>IF(A21="","",INT((A21-Overview!$B$5)/7)+1)</f>
        <v/>
      </c>
      <c r="C21" s="73" t="n"/>
      <c r="D21" s="73" t="n"/>
      <c r="E21" s="74" t="n"/>
      <c r="F21" s="73" t="n"/>
      <c r="G21" s="73" t="n"/>
      <c r="H21" s="73" t="n"/>
      <c r="I21" s="73" t="n"/>
    </row>
    <row r="22" ht="15" customHeight="1" s="39">
      <c r="A22" s="71" t="n"/>
      <c r="B22" s="72">
        <f>IF(A22="","",INT((A22-Overview!$B$5)/7)+1)</f>
        <v/>
      </c>
      <c r="C22" s="73" t="n"/>
      <c r="D22" s="73" t="n"/>
      <c r="E22" s="74" t="n"/>
      <c r="F22" s="73" t="n"/>
      <c r="G22" s="73" t="n"/>
      <c r="H22" s="73" t="n"/>
      <c r="I22" s="73" t="n"/>
    </row>
    <row r="23" ht="15" customHeight="1" s="39">
      <c r="A23" s="71" t="n"/>
      <c r="B23" s="72">
        <f>IF(A23="","",INT((A23-Overview!$B$5)/7)+1)</f>
        <v/>
      </c>
      <c r="C23" s="73" t="n"/>
      <c r="D23" s="73" t="n"/>
      <c r="E23" s="74" t="n"/>
      <c r="F23" s="73" t="n"/>
      <c r="G23" s="73" t="n"/>
      <c r="H23" s="73" t="n"/>
      <c r="I23" s="73" t="n"/>
    </row>
    <row r="24" ht="15" customHeight="1" s="39">
      <c r="A24" s="71" t="n"/>
      <c r="B24" s="72">
        <f>IF(A24="","",INT((A24-Overview!$B$5)/7)+1)</f>
        <v/>
      </c>
      <c r="C24" s="73" t="n"/>
      <c r="D24" s="73" t="n"/>
      <c r="E24" s="74" t="n"/>
      <c r="F24" s="73" t="n"/>
      <c r="G24" s="73" t="n"/>
      <c r="H24" s="73" t="n"/>
      <c r="I24" s="73" t="n"/>
    </row>
    <row r="25" ht="15" customHeight="1" s="39">
      <c r="A25" s="71" t="n"/>
      <c r="B25" s="72">
        <f>IF(A25="","",INT((A25-Overview!$B$5)/7)+1)</f>
        <v/>
      </c>
      <c r="C25" s="73" t="n"/>
      <c r="D25" s="73" t="n"/>
      <c r="E25" s="74" t="n"/>
      <c r="F25" s="73" t="n"/>
      <c r="G25" s="73" t="n"/>
      <c r="H25" s="73" t="n"/>
      <c r="I25" s="73" t="n"/>
    </row>
    <row r="26" ht="15" customHeight="1" s="39">
      <c r="A26" s="71" t="n"/>
      <c r="B26" s="72">
        <f>IF(A26="","",INT((A26-Overview!$B$5)/7)+1)</f>
        <v/>
      </c>
      <c r="C26" s="73" t="n"/>
      <c r="D26" s="73" t="n"/>
      <c r="E26" s="74" t="n"/>
      <c r="F26" s="73" t="n"/>
      <c r="G26" s="73" t="n"/>
      <c r="H26" s="73" t="n"/>
      <c r="I26" s="73" t="n"/>
    </row>
    <row r="27" ht="15" customHeight="1" s="39">
      <c r="A27" s="71" t="n"/>
      <c r="B27" s="72">
        <f>IF(A27="","",INT((A27-Overview!$B$5)/7)+1)</f>
        <v/>
      </c>
      <c r="C27" s="73" t="n"/>
      <c r="D27" s="73" t="n"/>
      <c r="E27" s="74" t="n"/>
      <c r="F27" s="73" t="n"/>
      <c r="G27" s="73" t="n"/>
      <c r="H27" s="73" t="n"/>
      <c r="I27" s="73" t="n"/>
    </row>
    <row r="28" ht="15" customHeight="1" s="39">
      <c r="A28" s="71" t="n"/>
      <c r="B28" s="72">
        <f>IF(A28="","",INT((A28-Overview!$B$5)/7)+1)</f>
        <v/>
      </c>
      <c r="C28" s="73" t="n"/>
      <c r="D28" s="73" t="n"/>
      <c r="E28" s="74" t="n"/>
      <c r="F28" s="73" t="n"/>
      <c r="G28" s="73" t="n"/>
      <c r="H28" s="73" t="n"/>
      <c r="I28" s="73" t="n"/>
    </row>
    <row r="29" ht="15" customHeight="1" s="39">
      <c r="A29" s="71" t="n"/>
      <c r="B29" s="72">
        <f>IF(A29="","",INT((A29-Overview!$B$5)/7)+1)</f>
        <v/>
      </c>
      <c r="C29" s="73" t="n"/>
      <c r="D29" s="73" t="n"/>
      <c r="E29" s="74" t="n"/>
      <c r="F29" s="73" t="n"/>
      <c r="G29" s="73" t="n"/>
      <c r="H29" s="73" t="n"/>
      <c r="I29" s="73" t="n"/>
    </row>
    <row r="30" ht="15" customHeight="1" s="39">
      <c r="A30" s="71" t="n"/>
      <c r="B30" s="72">
        <f>IF(A30="","",INT((A30-Overview!$B$5)/7)+1)</f>
        <v/>
      </c>
      <c r="C30" s="73" t="n"/>
      <c r="D30" s="73" t="n"/>
      <c r="E30" s="74" t="n"/>
      <c r="F30" s="73" t="n"/>
      <c r="G30" s="73" t="n"/>
      <c r="H30" s="73" t="n"/>
      <c r="I30" s="73" t="n"/>
    </row>
    <row r="31" ht="15" customHeight="1" s="39">
      <c r="A31" s="71" t="n"/>
      <c r="B31" s="72">
        <f>IF(A31="","",INT((A31-Overview!$B$5)/7)+1)</f>
        <v/>
      </c>
      <c r="C31" s="73" t="n"/>
      <c r="D31" s="73" t="n"/>
      <c r="E31" s="74" t="n"/>
      <c r="F31" s="73" t="n"/>
      <c r="G31" s="73" t="n"/>
      <c r="H31" s="73" t="n"/>
      <c r="I31" s="73" t="n"/>
    </row>
    <row r="32" ht="15" customHeight="1" s="39">
      <c r="A32" s="71" t="n"/>
      <c r="B32" s="72">
        <f>IF(A32="","",INT((A32-Overview!$B$5)/7)+1)</f>
        <v/>
      </c>
      <c r="C32" s="73" t="n"/>
      <c r="D32" s="73" t="n"/>
      <c r="E32" s="74" t="n"/>
      <c r="F32" s="73" t="n"/>
      <c r="G32" s="73" t="n"/>
      <c r="H32" s="73" t="n"/>
      <c r="I32" s="73" t="n"/>
    </row>
    <row r="33" ht="15" customHeight="1" s="39">
      <c r="A33" s="71" t="n"/>
      <c r="B33" s="72">
        <f>IF(A33="","",INT((A33-Overview!$B$5)/7)+1)</f>
        <v/>
      </c>
      <c r="C33" s="73" t="n"/>
      <c r="D33" s="73" t="n"/>
      <c r="E33" s="74" t="n"/>
      <c r="F33" s="73" t="n"/>
      <c r="G33" s="73" t="n"/>
      <c r="H33" s="73" t="n"/>
      <c r="I33" s="73" t="n"/>
    </row>
    <row r="34" ht="15" customHeight="1" s="39">
      <c r="A34" s="71" t="n"/>
      <c r="B34" s="72">
        <f>IF(A34="","",INT((A34-Overview!$B$5)/7)+1)</f>
        <v/>
      </c>
      <c r="C34" s="73" t="n"/>
      <c r="D34" s="73" t="n"/>
      <c r="E34" s="74" t="n"/>
      <c r="F34" s="73" t="n"/>
      <c r="G34" s="73" t="n"/>
      <c r="H34" s="73" t="n"/>
      <c r="I34" s="73" t="n"/>
    </row>
    <row r="35" ht="15" customHeight="1" s="39">
      <c r="A35" s="71" t="n"/>
      <c r="B35" s="72">
        <f>IF(A35="","",INT((A35-Overview!$B$5)/7)+1)</f>
        <v/>
      </c>
      <c r="C35" s="73" t="n"/>
      <c r="D35" s="73" t="n"/>
      <c r="E35" s="74" t="n"/>
      <c r="F35" s="73" t="n"/>
      <c r="G35" s="73" t="n"/>
      <c r="H35" s="73" t="n"/>
      <c r="I35" s="73" t="n"/>
    </row>
    <row r="36" ht="15" customHeight="1" s="39">
      <c r="A36" s="71" t="n"/>
      <c r="B36" s="72">
        <f>IF(A36="","",INT((A36-Overview!$B$5)/7)+1)</f>
        <v/>
      </c>
      <c r="C36" s="73" t="n"/>
      <c r="D36" s="73" t="n"/>
      <c r="E36" s="74" t="n"/>
      <c r="F36" s="73" t="n"/>
      <c r="G36" s="73" t="n"/>
      <c r="H36" s="73" t="n"/>
      <c r="I36" s="73" t="n"/>
    </row>
    <row r="37" ht="15" customHeight="1" s="39">
      <c r="A37" s="71" t="n"/>
      <c r="B37" s="72">
        <f>IF(A37="","",INT((A37-Overview!$B$5)/7)+1)</f>
        <v/>
      </c>
      <c r="C37" s="73" t="n"/>
      <c r="D37" s="73" t="n"/>
      <c r="E37" s="74" t="n"/>
      <c r="F37" s="73" t="n"/>
      <c r="G37" s="73" t="n"/>
      <c r="H37" s="73" t="n"/>
      <c r="I37" s="73" t="n"/>
    </row>
    <row r="38" ht="15" customHeight="1" s="39">
      <c r="A38" s="71" t="n"/>
      <c r="B38" s="72">
        <f>IF(A38="","",INT((A38-Overview!$B$5)/7)+1)</f>
        <v/>
      </c>
      <c r="C38" s="73" t="n"/>
      <c r="D38" s="73" t="n"/>
      <c r="E38" s="74" t="n"/>
      <c r="F38" s="73" t="n"/>
      <c r="G38" s="73" t="n"/>
      <c r="H38" s="73" t="n"/>
      <c r="I38" s="73" t="n"/>
    </row>
    <row r="39" ht="15" customHeight="1" s="39">
      <c r="A39" s="71" t="n"/>
      <c r="B39" s="72">
        <f>IF(A39="","",INT((A39-Overview!$B$5)/7)+1)</f>
        <v/>
      </c>
      <c r="C39" s="73" t="n"/>
      <c r="D39" s="73" t="n"/>
      <c r="E39" s="74" t="n"/>
      <c r="F39" s="73" t="n"/>
      <c r="G39" s="73" t="n"/>
      <c r="H39" s="73" t="n"/>
      <c r="I39" s="73" t="n"/>
    </row>
    <row r="40" ht="15" customHeight="1" s="39">
      <c r="A40" s="71" t="n"/>
      <c r="B40" s="72">
        <f>IF(A40="","",INT((A40-Overview!$B$5)/7)+1)</f>
        <v/>
      </c>
      <c r="C40" s="73" t="n"/>
      <c r="D40" s="73" t="n"/>
      <c r="E40" s="74" t="n"/>
      <c r="F40" s="73" t="n"/>
      <c r="G40" s="73" t="n"/>
      <c r="H40" s="73" t="n"/>
      <c r="I40" s="73" t="n"/>
    </row>
    <row r="41" ht="15" customHeight="1" s="39">
      <c r="A41" s="71" t="n"/>
      <c r="B41" s="72">
        <f>IF(A41="","",INT((A41-Overview!$B$5)/7)+1)</f>
        <v/>
      </c>
      <c r="C41" s="73" t="n"/>
      <c r="D41" s="73" t="n"/>
      <c r="E41" s="74" t="n"/>
      <c r="F41" s="73" t="n"/>
      <c r="G41" s="73" t="n"/>
      <c r="H41" s="73" t="n"/>
      <c r="I41" s="73" t="n"/>
    </row>
    <row r="42" ht="15" customHeight="1" s="39">
      <c r="A42" s="71" t="n"/>
      <c r="B42" s="72">
        <f>IF(A42="","",INT((A42-Overview!$B$5)/7)+1)</f>
        <v/>
      </c>
      <c r="C42" s="73" t="n"/>
      <c r="D42" s="73" t="n"/>
      <c r="E42" s="74" t="n"/>
      <c r="F42" s="73" t="n"/>
      <c r="G42" s="73" t="n"/>
      <c r="H42" s="73" t="n"/>
      <c r="I42" s="73" t="n"/>
    </row>
    <row r="43" ht="15" customHeight="1" s="39">
      <c r="A43" s="71" t="n"/>
      <c r="B43" s="72">
        <f>IF(A43="","",INT((A43-Overview!$B$5)/7)+1)</f>
        <v/>
      </c>
      <c r="C43" s="73" t="n"/>
      <c r="D43" s="73" t="n"/>
      <c r="E43" s="74" t="n"/>
      <c r="F43" s="73" t="n"/>
      <c r="G43" s="73" t="n"/>
      <c r="H43" s="73" t="n"/>
      <c r="I43" s="73" t="n"/>
    </row>
    <row r="44" ht="15" customHeight="1" s="39">
      <c r="A44" s="71" t="n"/>
      <c r="B44" s="72">
        <f>IF(A44="","",INT((A44-Overview!$B$5)/7)+1)</f>
        <v/>
      </c>
      <c r="C44" s="73" t="n"/>
      <c r="D44" s="73" t="n"/>
      <c r="E44" s="74" t="n"/>
      <c r="F44" s="73" t="n"/>
      <c r="G44" s="73" t="n"/>
      <c r="H44" s="73" t="n"/>
      <c r="I44" s="73" t="n"/>
    </row>
    <row r="45" ht="15" customHeight="1" s="39">
      <c r="A45" s="71" t="n"/>
      <c r="B45" s="72">
        <f>IF(A45="","",INT((A45-Overview!$B$5)/7)+1)</f>
        <v/>
      </c>
      <c r="C45" s="73" t="n"/>
      <c r="D45" s="73" t="n"/>
      <c r="E45" s="74" t="n"/>
      <c r="F45" s="73" t="n"/>
      <c r="G45" s="73" t="n"/>
      <c r="H45" s="73" t="n"/>
      <c r="I45" s="73" t="n"/>
    </row>
    <row r="46" ht="15" customHeight="1" s="39">
      <c r="A46" s="71" t="n"/>
      <c r="B46" s="72">
        <f>IF(A46="","",INT((A46-Overview!$B$5)/7)+1)</f>
        <v/>
      </c>
      <c r="C46" s="73" t="n"/>
      <c r="D46" s="73" t="n"/>
      <c r="E46" s="74" t="n"/>
      <c r="F46" s="73" t="n"/>
      <c r="G46" s="73" t="n"/>
      <c r="H46" s="73" t="n"/>
      <c r="I46" s="73" t="n"/>
    </row>
    <row r="47" ht="15" customHeight="1" s="39">
      <c r="A47" s="71" t="n"/>
      <c r="B47" s="72">
        <f>IF(A47="","",INT((A47-Overview!$B$5)/7)+1)</f>
        <v/>
      </c>
      <c r="C47" s="73" t="n"/>
      <c r="D47" s="73" t="n"/>
      <c r="E47" s="74" t="n"/>
      <c r="F47" s="73" t="n"/>
      <c r="G47" s="73" t="n"/>
      <c r="H47" s="73" t="n"/>
      <c r="I47" s="73" t="n"/>
    </row>
    <row r="48" ht="15" customHeight="1" s="39">
      <c r="A48" s="71" t="n"/>
      <c r="B48" s="72">
        <f>IF(A48="","",INT((A48-Overview!$B$5)/7)+1)</f>
        <v/>
      </c>
      <c r="C48" s="73" t="n"/>
      <c r="D48" s="73" t="n"/>
      <c r="E48" s="74" t="n"/>
      <c r="F48" s="73" t="n"/>
      <c r="G48" s="73" t="n"/>
      <c r="H48" s="73" t="n"/>
      <c r="I48" s="73" t="n"/>
    </row>
    <row r="49" ht="15" customHeight="1" s="39">
      <c r="A49" s="71" t="n"/>
      <c r="B49" s="72">
        <f>IF(A49="","",INT((A49-Overview!$B$5)/7)+1)</f>
        <v/>
      </c>
      <c r="C49" s="73" t="n"/>
      <c r="D49" s="73" t="n"/>
      <c r="E49" s="74" t="n"/>
      <c r="F49" s="73" t="n"/>
      <c r="G49" s="73" t="n"/>
      <c r="H49" s="73" t="n"/>
      <c r="I49" s="73" t="n"/>
    </row>
    <row r="50" ht="15" customHeight="1" s="39">
      <c r="A50" s="71" t="n"/>
      <c r="B50" s="72">
        <f>IF(A50="","",INT((A50-Overview!$B$5)/7)+1)</f>
        <v/>
      </c>
      <c r="C50" s="73" t="n"/>
      <c r="D50" s="73" t="n"/>
      <c r="E50" s="74" t="n"/>
      <c r="F50" s="73" t="n"/>
      <c r="G50" s="73" t="n"/>
      <c r="H50" s="73" t="n"/>
      <c r="I50" s="73" t="n"/>
    </row>
    <row r="51" ht="15" customHeight="1" s="39">
      <c r="A51" s="71" t="n"/>
      <c r="B51" s="72">
        <f>IF(A51="","",INT((A51-Overview!$B$5)/7)+1)</f>
        <v/>
      </c>
      <c r="C51" s="73" t="n"/>
      <c r="D51" s="73" t="n"/>
      <c r="E51" s="74" t="n"/>
      <c r="F51" s="73" t="n"/>
      <c r="G51" s="73" t="n"/>
      <c r="H51" s="73" t="n"/>
      <c r="I51" s="73" t="n"/>
    </row>
    <row r="52" ht="15" customHeight="1" s="39">
      <c r="A52" s="71" t="n"/>
      <c r="B52" s="72">
        <f>IF(A52="","",INT((A52-Overview!$B$5)/7)+1)</f>
        <v/>
      </c>
      <c r="C52" s="73" t="n"/>
      <c r="D52" s="73" t="n"/>
      <c r="E52" s="74" t="n"/>
      <c r="F52" s="73" t="n"/>
      <c r="G52" s="73" t="n"/>
      <c r="H52" s="73" t="n"/>
      <c r="I52" s="73" t="n"/>
    </row>
    <row r="53" ht="15" customHeight="1" s="39">
      <c r="A53" s="71" t="n"/>
      <c r="B53" s="72">
        <f>IF(A53="","",INT((A53-Overview!$B$5)/7)+1)</f>
        <v/>
      </c>
      <c r="C53" s="73" t="n"/>
      <c r="D53" s="73" t="n"/>
      <c r="E53" s="74" t="n"/>
      <c r="F53" s="73" t="n"/>
      <c r="G53" s="73" t="n"/>
      <c r="H53" s="73" t="n"/>
      <c r="I53" s="73" t="n"/>
    </row>
    <row r="54" ht="15" customHeight="1" s="39">
      <c r="A54" s="71" t="n"/>
      <c r="B54" s="72">
        <f>IF(A54="","",INT((A54-Overview!$B$5)/7)+1)</f>
        <v/>
      </c>
      <c r="C54" s="73" t="n"/>
      <c r="D54" s="73" t="n"/>
      <c r="E54" s="74" t="n"/>
      <c r="F54" s="73" t="n"/>
      <c r="G54" s="73" t="n"/>
      <c r="H54" s="73" t="n"/>
      <c r="I54" s="73" t="n"/>
    </row>
    <row r="55" ht="15" customHeight="1" s="39">
      <c r="A55" s="71" t="n"/>
      <c r="B55" s="72">
        <f>IF(A55="","",INT((A55-Overview!$B$5)/7)+1)</f>
        <v/>
      </c>
      <c r="C55" s="73" t="n"/>
      <c r="D55" s="73" t="n"/>
      <c r="E55" s="74" t="n"/>
      <c r="F55" s="73" t="n"/>
      <c r="G55" s="73" t="n"/>
      <c r="H55" s="73" t="n"/>
      <c r="I55" s="73" t="n"/>
    </row>
    <row r="56" ht="15" customHeight="1" s="39">
      <c r="A56" s="71" t="n"/>
      <c r="B56" s="72">
        <f>IF(A56="","",INT((A56-Overview!$B$5)/7)+1)</f>
        <v/>
      </c>
      <c r="C56" s="73" t="n"/>
      <c r="D56" s="73" t="n"/>
      <c r="E56" s="74" t="n"/>
      <c r="F56" s="73" t="n"/>
      <c r="G56" s="73" t="n"/>
      <c r="H56" s="73" t="n"/>
      <c r="I56" s="73" t="n"/>
    </row>
    <row r="57" ht="15" customHeight="1" s="39">
      <c r="A57" s="71" t="n"/>
      <c r="B57" s="72">
        <f>IF(A57="","",INT((A57-Overview!$B$5)/7)+1)</f>
        <v/>
      </c>
      <c r="C57" s="73" t="n"/>
      <c r="D57" s="73" t="n"/>
      <c r="E57" s="74" t="n"/>
      <c r="F57" s="73" t="n"/>
      <c r="G57" s="73" t="n"/>
      <c r="H57" s="73" t="n"/>
      <c r="I57" s="73" t="n"/>
    </row>
    <row r="58" ht="15" customHeight="1" s="39">
      <c r="A58" s="71" t="n"/>
      <c r="B58" s="72">
        <f>IF(A58="","",INT((A58-Overview!$B$5)/7)+1)</f>
        <v/>
      </c>
      <c r="C58" s="73" t="n"/>
      <c r="D58" s="73" t="n"/>
      <c r="E58" s="74" t="n"/>
      <c r="F58" s="73" t="n"/>
      <c r="G58" s="73" t="n"/>
      <c r="H58" s="73" t="n"/>
      <c r="I58" s="73" t="n"/>
    </row>
    <row r="59" ht="15" customHeight="1" s="39">
      <c r="A59" s="71" t="n"/>
      <c r="B59" s="72">
        <f>IF(A59="","",INT((A59-Overview!$B$5)/7)+1)</f>
        <v/>
      </c>
      <c r="C59" s="73" t="n"/>
      <c r="D59" s="73" t="n"/>
      <c r="E59" s="74" t="n"/>
      <c r="F59" s="73" t="n"/>
      <c r="G59" s="73" t="n"/>
      <c r="H59" s="73" t="n"/>
      <c r="I59" s="73" t="n"/>
    </row>
    <row r="60" ht="15" customHeight="1" s="39">
      <c r="A60" s="71" t="n"/>
      <c r="B60" s="72">
        <f>IF(A60="","",INT((A60-Overview!$B$5)/7)+1)</f>
        <v/>
      </c>
      <c r="C60" s="73" t="n"/>
      <c r="D60" s="73" t="n"/>
      <c r="E60" s="74" t="n"/>
      <c r="F60" s="73" t="n"/>
      <c r="G60" s="73" t="n"/>
      <c r="H60" s="73" t="n"/>
      <c r="I60" s="73" t="n"/>
    </row>
    <row r="61" ht="15" customHeight="1" s="39">
      <c r="A61" s="71" t="n"/>
      <c r="B61" s="72">
        <f>IF(A61="","",INT((A61-Overview!$B$5)/7)+1)</f>
        <v/>
      </c>
      <c r="C61" s="73" t="n"/>
      <c r="D61" s="73" t="n"/>
      <c r="E61" s="74" t="n"/>
      <c r="F61" s="73" t="n"/>
      <c r="G61" s="73" t="n"/>
      <c r="H61" s="73" t="n"/>
      <c r="I61" s="73" t="n"/>
    </row>
    <row r="62" ht="15" customHeight="1" s="39">
      <c r="A62" s="71" t="n"/>
      <c r="B62" s="72">
        <f>IF(A62="","",INT((A62-Overview!$B$5)/7)+1)</f>
        <v/>
      </c>
      <c r="C62" s="73" t="n"/>
      <c r="D62" s="73" t="n"/>
      <c r="E62" s="74" t="n"/>
      <c r="F62" s="73" t="n"/>
      <c r="G62" s="73" t="n"/>
      <c r="H62" s="73" t="n"/>
      <c r="I62" s="73" t="n"/>
    </row>
    <row r="63" ht="15" customHeight="1" s="39">
      <c r="A63" s="71" t="n"/>
      <c r="B63" s="72">
        <f>IF(A63="","",INT((A63-Overview!$B$5)/7)+1)</f>
        <v/>
      </c>
      <c r="C63" s="73" t="n"/>
      <c r="D63" s="73" t="n"/>
      <c r="E63" s="74" t="n"/>
      <c r="F63" s="73" t="n"/>
      <c r="G63" s="73" t="n"/>
      <c r="H63" s="73" t="n"/>
      <c r="I63" s="73" t="n"/>
    </row>
    <row r="64" ht="15" customHeight="1" s="39">
      <c r="A64" s="71" t="n"/>
      <c r="B64" s="72">
        <f>IF(A64="","",INT((A64-Overview!$B$5)/7)+1)</f>
        <v/>
      </c>
      <c r="C64" s="73" t="n"/>
      <c r="D64" s="73" t="n"/>
      <c r="E64" s="74" t="n"/>
      <c r="F64" s="73" t="n"/>
      <c r="G64" s="73" t="n"/>
      <c r="H64" s="73" t="n"/>
      <c r="I64" s="73" t="n"/>
    </row>
    <row r="65" ht="15" customHeight="1" s="39">
      <c r="A65" s="71" t="n"/>
      <c r="B65" s="72">
        <f>IF(A65="","",INT((A65-Overview!$B$5)/7)+1)</f>
        <v/>
      </c>
      <c r="C65" s="73" t="n"/>
      <c r="D65" s="73" t="n"/>
      <c r="E65" s="74" t="n"/>
      <c r="F65" s="73" t="n"/>
      <c r="G65" s="73" t="n"/>
      <c r="H65" s="73" t="n"/>
      <c r="I65" s="73" t="n"/>
    </row>
    <row r="66" ht="15" customHeight="1" s="39">
      <c r="A66" s="71" t="n"/>
      <c r="B66" s="72">
        <f>IF(A66="","",INT((A66-Overview!$B$5)/7)+1)</f>
        <v/>
      </c>
      <c r="C66" s="73" t="n"/>
      <c r="D66" s="73" t="n"/>
      <c r="E66" s="74" t="n"/>
      <c r="F66" s="73" t="n"/>
      <c r="G66" s="73" t="n"/>
      <c r="H66" s="73" t="n"/>
      <c r="I66" s="73" t="n"/>
    </row>
    <row r="67" ht="15" customHeight="1" s="39">
      <c r="A67" s="71" t="n"/>
      <c r="B67" s="72">
        <f>IF(A67="","",INT((A67-Overview!$B$5)/7)+1)</f>
        <v/>
      </c>
      <c r="C67" s="73" t="n"/>
      <c r="D67" s="73" t="n"/>
      <c r="E67" s="74" t="n"/>
      <c r="F67" s="73" t="n"/>
      <c r="G67" s="73" t="n"/>
      <c r="H67" s="73" t="n"/>
      <c r="I67" s="73" t="n"/>
    </row>
    <row r="68" ht="15" customHeight="1" s="39">
      <c r="A68" s="71" t="n"/>
      <c r="B68" s="72">
        <f>IF(A68="","",INT((A68-Overview!$B$5)/7)+1)</f>
        <v/>
      </c>
      <c r="C68" s="73" t="n"/>
      <c r="D68" s="73" t="n"/>
      <c r="E68" s="74" t="n"/>
      <c r="F68" s="73" t="n"/>
      <c r="G68" s="73" t="n"/>
      <c r="H68" s="73" t="n"/>
      <c r="I68" s="73" t="n"/>
    </row>
    <row r="69" ht="15" customHeight="1" s="39">
      <c r="A69" s="71" t="n"/>
      <c r="B69" s="72">
        <f>IF(A69="","",INT((A69-Overview!$B$5)/7)+1)</f>
        <v/>
      </c>
      <c r="C69" s="73" t="n"/>
      <c r="D69" s="73" t="n"/>
      <c r="E69" s="74" t="n"/>
      <c r="F69" s="73" t="n"/>
      <c r="G69" s="73" t="n"/>
      <c r="H69" s="73" t="n"/>
      <c r="I69" s="73" t="n"/>
    </row>
    <row r="70" ht="15" customHeight="1" s="39">
      <c r="A70" s="71" t="n"/>
      <c r="B70" s="72">
        <f>IF(A70="","",INT((A70-Overview!$B$5)/7)+1)</f>
        <v/>
      </c>
      <c r="C70" s="73" t="n"/>
      <c r="D70" s="73" t="n"/>
      <c r="E70" s="74" t="n"/>
      <c r="F70" s="73" t="n"/>
      <c r="G70" s="73" t="n"/>
      <c r="H70" s="73" t="n"/>
      <c r="I70" s="73" t="n"/>
    </row>
    <row r="71" ht="15" customHeight="1" s="39">
      <c r="A71" s="71" t="n"/>
      <c r="B71" s="72">
        <f>IF(A71="","",INT((A71-Overview!$B$5)/7)+1)</f>
        <v/>
      </c>
      <c r="C71" s="73" t="n"/>
      <c r="D71" s="73" t="n"/>
      <c r="E71" s="74" t="n"/>
      <c r="F71" s="73" t="n"/>
      <c r="G71" s="73" t="n"/>
      <c r="H71" s="73" t="n"/>
      <c r="I71" s="73" t="n"/>
    </row>
    <row r="72" ht="15" customHeight="1" s="39">
      <c r="A72" s="71" t="n"/>
      <c r="B72" s="72">
        <f>IF(A72="","",INT((A72-Overview!$B$5)/7)+1)</f>
        <v/>
      </c>
      <c r="C72" s="73" t="n"/>
      <c r="D72" s="73" t="n"/>
      <c r="E72" s="74" t="n"/>
      <c r="F72" s="73" t="n"/>
      <c r="G72" s="73" t="n"/>
      <c r="H72" s="73" t="n"/>
      <c r="I72" s="73" t="n"/>
    </row>
    <row r="73" ht="15" customHeight="1" s="39">
      <c r="A73" s="71" t="n"/>
      <c r="B73" s="72">
        <f>IF(A73="","",INT((A73-Overview!$B$5)/7)+1)</f>
        <v/>
      </c>
      <c r="C73" s="73" t="n"/>
      <c r="D73" s="73" t="n"/>
      <c r="E73" s="74" t="n"/>
      <c r="F73" s="73" t="n"/>
      <c r="G73" s="73" t="n"/>
      <c r="H73" s="73" t="n"/>
      <c r="I73" s="73" t="n"/>
    </row>
    <row r="74" ht="15" customHeight="1" s="39">
      <c r="A74" s="71" t="n"/>
      <c r="B74" s="72">
        <f>IF(A74="","",INT((A74-Overview!$B$5)/7)+1)</f>
        <v/>
      </c>
      <c r="C74" s="73" t="n"/>
      <c r="D74" s="73" t="n"/>
      <c r="E74" s="74" t="n"/>
      <c r="F74" s="73" t="n"/>
      <c r="G74" s="73" t="n"/>
      <c r="H74" s="73" t="n"/>
      <c r="I74" s="73" t="n"/>
    </row>
    <row r="75" ht="15" customHeight="1" s="39">
      <c r="A75" s="71" t="n"/>
      <c r="B75" s="72">
        <f>IF(A75="","",INT((A75-Overview!$B$5)/7)+1)</f>
        <v/>
      </c>
      <c r="C75" s="73" t="n"/>
      <c r="D75" s="73" t="n"/>
      <c r="E75" s="74" t="n"/>
      <c r="F75" s="73" t="n"/>
      <c r="G75" s="73" t="n"/>
      <c r="H75" s="73" t="n"/>
      <c r="I75" s="73" t="n"/>
    </row>
    <row r="76" ht="15" customHeight="1" s="39">
      <c r="A76" s="71" t="n"/>
      <c r="B76" s="72">
        <f>IF(A76="","",INT((A76-Overview!$B$5)/7)+1)</f>
        <v/>
      </c>
      <c r="C76" s="73" t="n"/>
      <c r="D76" s="73" t="n"/>
      <c r="E76" s="74" t="n"/>
      <c r="F76" s="73" t="n"/>
      <c r="G76" s="73" t="n"/>
      <c r="H76" s="73" t="n"/>
      <c r="I76" s="73" t="n"/>
    </row>
    <row r="77" ht="15" customHeight="1" s="39">
      <c r="A77" s="71" t="n"/>
      <c r="B77" s="72">
        <f>IF(A77="","",INT((A77-Overview!$B$5)/7)+1)</f>
        <v/>
      </c>
      <c r="C77" s="73" t="n"/>
      <c r="D77" s="73" t="n"/>
      <c r="E77" s="74" t="n"/>
      <c r="F77" s="73" t="n"/>
      <c r="G77" s="73" t="n"/>
      <c r="H77" s="73" t="n"/>
      <c r="I77" s="73" t="n"/>
    </row>
    <row r="78" ht="15" customHeight="1" s="39">
      <c r="A78" s="71" t="n"/>
      <c r="B78" s="72">
        <f>IF(A78="","",INT((A78-Overview!$B$5)/7)+1)</f>
        <v/>
      </c>
      <c r="C78" s="73" t="n"/>
      <c r="D78" s="73" t="n"/>
      <c r="E78" s="74" t="n"/>
      <c r="F78" s="73" t="n"/>
      <c r="G78" s="73" t="n"/>
      <c r="H78" s="73" t="n"/>
      <c r="I78" s="73" t="n"/>
    </row>
    <row r="79" ht="15" customHeight="1" s="39">
      <c r="A79" s="71" t="n"/>
      <c r="B79" s="72">
        <f>IF(A79="","",INT((A79-Overview!$B$5)/7)+1)</f>
        <v/>
      </c>
      <c r="C79" s="73" t="n"/>
      <c r="D79" s="73" t="n"/>
      <c r="E79" s="74" t="n"/>
      <c r="F79" s="73" t="n"/>
      <c r="G79" s="73" t="n"/>
      <c r="H79" s="73" t="n"/>
      <c r="I79" s="73" t="n"/>
    </row>
    <row r="80" ht="15" customHeight="1" s="39">
      <c r="A80" s="71" t="n"/>
      <c r="B80" s="72">
        <f>IF(A80="","",INT((A80-Overview!$B$5)/7)+1)</f>
        <v/>
      </c>
      <c r="C80" s="73" t="n"/>
      <c r="D80" s="73" t="n"/>
      <c r="E80" s="74" t="n"/>
      <c r="F80" s="73" t="n"/>
      <c r="G80" s="73" t="n"/>
      <c r="H80" s="73" t="n"/>
      <c r="I80" s="73" t="n"/>
    </row>
    <row r="81" ht="15" customHeight="1" s="39">
      <c r="A81" s="71" t="n"/>
      <c r="B81" s="72">
        <f>IF(A81="","",INT((A81-Overview!$B$5)/7)+1)</f>
        <v/>
      </c>
      <c r="C81" s="73" t="n"/>
      <c r="D81" s="73" t="n"/>
      <c r="E81" s="74" t="n"/>
      <c r="F81" s="73" t="n"/>
      <c r="G81" s="73" t="n"/>
      <c r="H81" s="73" t="n"/>
      <c r="I81" s="73" t="n"/>
    </row>
    <row r="82" ht="15" customHeight="1" s="39">
      <c r="A82" s="71" t="n"/>
      <c r="B82" s="72">
        <f>IF(A82="","",INT((A82-Overview!$B$5)/7)+1)</f>
        <v/>
      </c>
      <c r="C82" s="73" t="n"/>
      <c r="D82" s="73" t="n"/>
      <c r="E82" s="74" t="n"/>
      <c r="F82" s="73" t="n"/>
      <c r="G82" s="73" t="n"/>
      <c r="H82" s="73" t="n"/>
      <c r="I82" s="73" t="n"/>
    </row>
    <row r="83" ht="15" customHeight="1" s="39">
      <c r="A83" s="71" t="n"/>
      <c r="B83" s="72">
        <f>IF(A83="","",INT((A83-Overview!$B$5)/7)+1)</f>
        <v/>
      </c>
      <c r="C83" s="73" t="n"/>
      <c r="D83" s="73" t="n"/>
      <c r="E83" s="74" t="n"/>
      <c r="F83" s="73" t="n"/>
      <c r="G83" s="73" t="n"/>
      <c r="H83" s="73" t="n"/>
      <c r="I83" s="73" t="n"/>
    </row>
    <row r="84" ht="15" customHeight="1" s="39">
      <c r="A84" s="71" t="n"/>
      <c r="B84" s="72">
        <f>IF(A84="","",INT((A84-Overview!$B$5)/7)+1)</f>
        <v/>
      </c>
      <c r="C84" s="73" t="n"/>
      <c r="D84" s="73" t="n"/>
      <c r="E84" s="74" t="n"/>
      <c r="F84" s="73" t="n"/>
      <c r="G84" s="73" t="n"/>
      <c r="H84" s="73" t="n"/>
      <c r="I84" s="73" t="n"/>
    </row>
    <row r="85" ht="15" customHeight="1" s="39">
      <c r="A85" s="71" t="n"/>
      <c r="B85" s="72">
        <f>IF(A85="","",INT((A85-Overview!$B$5)/7)+1)</f>
        <v/>
      </c>
      <c r="C85" s="73" t="n"/>
      <c r="D85" s="73" t="n"/>
      <c r="E85" s="74" t="n"/>
      <c r="F85" s="73" t="n"/>
      <c r="G85" s="73" t="n"/>
      <c r="H85" s="73" t="n"/>
      <c r="I85" s="73" t="n"/>
    </row>
    <row r="86" ht="15" customHeight="1" s="39">
      <c r="A86" s="71" t="n"/>
      <c r="B86" s="72">
        <f>IF(A86="","",INT((A86-Overview!$B$5)/7)+1)</f>
        <v/>
      </c>
      <c r="C86" s="73" t="n"/>
      <c r="D86" s="73" t="n"/>
      <c r="E86" s="74" t="n"/>
      <c r="F86" s="73" t="n"/>
      <c r="G86" s="73" t="n"/>
      <c r="H86" s="73" t="n"/>
      <c r="I86" s="73" t="n"/>
    </row>
    <row r="87" ht="15" customHeight="1" s="39">
      <c r="A87" s="71" t="n"/>
      <c r="B87" s="72">
        <f>IF(A87="","",INT((A87-Overview!$B$5)/7)+1)</f>
        <v/>
      </c>
      <c r="C87" s="73" t="n"/>
      <c r="D87" s="73" t="n"/>
      <c r="E87" s="74" t="n"/>
      <c r="F87" s="73" t="n"/>
      <c r="G87" s="73" t="n"/>
      <c r="H87" s="73" t="n"/>
      <c r="I87" s="73" t="n"/>
    </row>
    <row r="88" ht="15" customHeight="1" s="39">
      <c r="A88" s="71" t="n"/>
      <c r="B88" s="72">
        <f>IF(A88="","",INT((A88-Overview!$B$5)/7)+1)</f>
        <v/>
      </c>
      <c r="C88" s="73" t="n"/>
      <c r="D88" s="73" t="n"/>
      <c r="E88" s="74" t="n"/>
      <c r="F88" s="73" t="n"/>
      <c r="G88" s="73" t="n"/>
      <c r="H88" s="73" t="n"/>
      <c r="I88" s="73" t="n"/>
    </row>
    <row r="89" ht="15" customHeight="1" s="39">
      <c r="A89" s="71" t="n"/>
      <c r="B89" s="72">
        <f>IF(A89="","",INT((A89-Overview!$B$5)/7)+1)</f>
        <v/>
      </c>
      <c r="C89" s="73" t="n"/>
      <c r="D89" s="73" t="n"/>
      <c r="E89" s="74" t="n"/>
      <c r="F89" s="73" t="n"/>
      <c r="G89" s="73" t="n"/>
      <c r="H89" s="73" t="n"/>
      <c r="I89" s="73" t="n"/>
    </row>
    <row r="90" ht="15" customHeight="1" s="39">
      <c r="A90" s="71" t="n"/>
      <c r="B90" s="72">
        <f>IF(A90="","",INT((A90-Overview!$B$5)/7)+1)</f>
        <v/>
      </c>
      <c r="C90" s="73" t="n"/>
      <c r="D90" s="73" t="n"/>
      <c r="E90" s="74" t="n"/>
      <c r="F90" s="73" t="n"/>
      <c r="G90" s="73" t="n"/>
      <c r="H90" s="73" t="n"/>
      <c r="I90" s="73" t="n"/>
    </row>
    <row r="91" ht="15" customHeight="1" s="39">
      <c r="A91" s="71" t="n"/>
      <c r="B91" s="72">
        <f>IF(A91="","",INT((A91-Overview!$B$5)/7)+1)</f>
        <v/>
      </c>
      <c r="C91" s="73" t="n"/>
      <c r="D91" s="73" t="n"/>
      <c r="E91" s="74" t="n"/>
      <c r="F91" s="73" t="n"/>
      <c r="G91" s="73" t="n"/>
      <c r="H91" s="73" t="n"/>
      <c r="I91" s="73" t="n"/>
    </row>
    <row r="92" ht="15" customHeight="1" s="39">
      <c r="A92" s="71" t="n"/>
      <c r="B92" s="72">
        <f>IF(A92="","",INT((A92-Overview!$B$5)/7)+1)</f>
        <v/>
      </c>
      <c r="C92" s="73" t="n"/>
      <c r="D92" s="73" t="n"/>
      <c r="E92" s="74" t="n"/>
      <c r="F92" s="73" t="n"/>
      <c r="G92" s="73" t="n"/>
      <c r="H92" s="73" t="n"/>
      <c r="I92" s="73" t="n"/>
    </row>
    <row r="93" ht="15" customHeight="1" s="39">
      <c r="A93" s="71" t="n"/>
      <c r="B93" s="72">
        <f>IF(A93="","",INT((A93-Overview!$B$5)/7)+1)</f>
        <v/>
      </c>
      <c r="C93" s="73" t="n"/>
      <c r="D93" s="73" t="n"/>
      <c r="E93" s="74" t="n"/>
      <c r="F93" s="73" t="n"/>
      <c r="G93" s="73" t="n"/>
      <c r="H93" s="73" t="n"/>
      <c r="I93" s="73" t="n"/>
    </row>
    <row r="94" ht="15" customHeight="1" s="39">
      <c r="A94" s="71" t="n"/>
      <c r="B94" s="72">
        <f>IF(A94="","",INT((A94-Overview!$B$5)/7)+1)</f>
        <v/>
      </c>
      <c r="C94" s="73" t="n"/>
      <c r="D94" s="73" t="n"/>
      <c r="E94" s="74" t="n"/>
      <c r="F94" s="73" t="n"/>
      <c r="G94" s="73" t="n"/>
      <c r="H94" s="73" t="n"/>
      <c r="I94" s="73" t="n"/>
    </row>
    <row r="95" ht="15" customHeight="1" s="39">
      <c r="A95" s="71" t="n"/>
      <c r="B95" s="72">
        <f>IF(A95="","",INT((A95-Overview!$B$5)/7)+1)</f>
        <v/>
      </c>
      <c r="C95" s="73" t="n"/>
      <c r="D95" s="73" t="n"/>
      <c r="E95" s="74" t="n"/>
      <c r="F95" s="73" t="n"/>
      <c r="G95" s="73" t="n"/>
      <c r="H95" s="73" t="n"/>
      <c r="I95" s="73" t="n"/>
    </row>
    <row r="96" ht="15" customHeight="1" s="39">
      <c r="A96" s="71" t="n"/>
      <c r="B96" s="72">
        <f>IF(A96="","",INT((A96-Overview!$B$5)/7)+1)</f>
        <v/>
      </c>
      <c r="C96" s="73" t="n"/>
      <c r="D96" s="73" t="n"/>
      <c r="E96" s="74" t="n"/>
      <c r="F96" s="73" t="n"/>
      <c r="G96" s="73" t="n"/>
      <c r="H96" s="73" t="n"/>
      <c r="I96" s="73" t="n"/>
    </row>
    <row r="97" ht="15" customHeight="1" s="39">
      <c r="A97" s="71" t="n"/>
      <c r="B97" s="72">
        <f>IF(A97="","",INT((A97-Overview!$B$5)/7)+1)</f>
        <v/>
      </c>
      <c r="C97" s="73" t="n"/>
      <c r="D97" s="73" t="n"/>
      <c r="E97" s="74" t="n"/>
      <c r="F97" s="73" t="n"/>
      <c r="G97" s="73" t="n"/>
      <c r="H97" s="73" t="n"/>
      <c r="I97" s="73" t="n"/>
    </row>
    <row r="98" ht="15" customHeight="1" s="39">
      <c r="A98" s="71" t="n"/>
      <c r="B98" s="72">
        <f>IF(A98="","",INT((A98-Overview!$B$5)/7)+1)</f>
        <v/>
      </c>
      <c r="C98" s="73" t="n"/>
      <c r="D98" s="73" t="n"/>
      <c r="E98" s="74" t="n"/>
      <c r="F98" s="73" t="n"/>
      <c r="G98" s="73" t="n"/>
      <c r="H98" s="73" t="n"/>
      <c r="I98" s="73" t="n"/>
    </row>
    <row r="99" ht="15" customHeight="1" s="39">
      <c r="A99" s="71" t="n"/>
      <c r="B99" s="72">
        <f>IF(A99="","",INT((A99-Overview!$B$5)/7)+1)</f>
        <v/>
      </c>
      <c r="C99" s="73" t="n"/>
      <c r="D99" s="73" t="n"/>
      <c r="E99" s="74" t="n"/>
      <c r="F99" s="73" t="n"/>
      <c r="G99" s="73" t="n"/>
      <c r="H99" s="73" t="n"/>
      <c r="I99" s="73" t="n"/>
    </row>
    <row r="100" ht="15" customHeight="1" s="39">
      <c r="A100" s="71" t="n"/>
      <c r="B100" s="72">
        <f>IF(A100="","",INT((A100-Overview!$B$5)/7)+1)</f>
        <v/>
      </c>
      <c r="C100" s="73" t="n"/>
      <c r="D100" s="73" t="n"/>
      <c r="E100" s="74" t="n"/>
      <c r="F100" s="73" t="n"/>
      <c r="G100" s="73" t="n"/>
      <c r="H100" s="73" t="n"/>
      <c r="I100" s="73" t="n"/>
    </row>
    <row r="101" ht="15" customHeight="1" s="39">
      <c r="A101" s="71" t="n"/>
      <c r="B101" s="72">
        <f>IF(A101="","",INT((A101-Overview!$B$5)/7)+1)</f>
        <v/>
      </c>
      <c r="C101" s="73" t="n"/>
      <c r="D101" s="73" t="n"/>
      <c r="E101" s="74" t="n"/>
      <c r="F101" s="73" t="n"/>
      <c r="G101" s="73" t="n"/>
      <c r="H101" s="73" t="n"/>
      <c r="I101" s="73" t="n"/>
    </row>
    <row r="102" ht="15" customHeight="1" s="39">
      <c r="A102" s="71" t="n"/>
      <c r="B102" s="72">
        <f>IF(A102="","",INT((A102-Overview!$B$5)/7)+1)</f>
        <v/>
      </c>
      <c r="C102" s="73" t="n"/>
      <c r="D102" s="73" t="n"/>
      <c r="E102" s="74" t="n"/>
      <c r="F102" s="73" t="n"/>
      <c r="G102" s="73" t="n"/>
      <c r="H102" s="73" t="n"/>
      <c r="I102" s="73" t="n"/>
    </row>
    <row r="103" ht="15" customHeight="1" s="39">
      <c r="A103" s="71" t="n"/>
      <c r="B103" s="72">
        <f>IF(A103="","",INT((A103-Overview!$B$5)/7)+1)</f>
        <v/>
      </c>
      <c r="C103" s="73" t="n"/>
      <c r="D103" s="73" t="n"/>
      <c r="E103" s="74" t="n"/>
      <c r="F103" s="73" t="n"/>
      <c r="G103" s="73" t="n"/>
      <c r="H103" s="73" t="n"/>
      <c r="I103" s="73" t="n"/>
    </row>
    <row r="104" ht="15" customHeight="1" s="39">
      <c r="A104" s="71" t="n"/>
      <c r="B104" s="72">
        <f>IF(A104="","",INT((A104-Overview!$B$5)/7)+1)</f>
        <v/>
      </c>
      <c r="C104" s="73" t="n"/>
      <c r="D104" s="73" t="n"/>
      <c r="E104" s="74" t="n"/>
      <c r="F104" s="73" t="n"/>
      <c r="G104" s="73" t="n"/>
      <c r="H104" s="73" t="n"/>
      <c r="I104" s="73" t="n"/>
    </row>
    <row r="105" ht="15" customHeight="1" s="39">
      <c r="A105" s="71" t="n"/>
      <c r="B105" s="72">
        <f>IF(A105="","",INT((A105-Overview!$B$5)/7)+1)</f>
        <v/>
      </c>
      <c r="C105" s="73" t="n"/>
      <c r="D105" s="73" t="n"/>
      <c r="E105" s="74" t="n"/>
      <c r="F105" s="73" t="n"/>
      <c r="G105" s="73" t="n"/>
      <c r="H105" s="73" t="n"/>
      <c r="I105" s="73" t="n"/>
    </row>
    <row r="106" ht="15" customHeight="1" s="39">
      <c r="A106" s="71" t="n"/>
      <c r="B106" s="72">
        <f>IF(A106="","",INT((A106-Overview!$B$5)/7)+1)</f>
        <v/>
      </c>
      <c r="C106" s="73" t="n"/>
      <c r="D106" s="73" t="n"/>
      <c r="E106" s="74" t="n"/>
      <c r="F106" s="73" t="n"/>
      <c r="G106" s="73" t="n"/>
      <c r="H106" s="73" t="n"/>
      <c r="I106" s="73" t="n"/>
    </row>
    <row r="107" ht="15" customHeight="1" s="39">
      <c r="A107" s="71" t="n"/>
      <c r="B107" s="72">
        <f>IF(A107="","",INT((A107-Overview!$B$5)/7)+1)</f>
        <v/>
      </c>
      <c r="C107" s="73" t="n"/>
      <c r="D107" s="73" t="n"/>
      <c r="E107" s="74" t="n"/>
      <c r="F107" s="73" t="n"/>
      <c r="G107" s="73" t="n"/>
      <c r="H107" s="73" t="n"/>
      <c r="I107" s="73" t="n"/>
    </row>
    <row r="108" ht="15" customHeight="1" s="39">
      <c r="A108" s="71" t="n"/>
      <c r="B108" s="72">
        <f>IF(A108="","",INT((A108-Overview!$B$5)/7)+1)</f>
        <v/>
      </c>
      <c r="C108" s="73" t="n"/>
      <c r="D108" s="73" t="n"/>
      <c r="E108" s="74" t="n"/>
      <c r="F108" s="73" t="n"/>
      <c r="G108" s="73" t="n"/>
      <c r="H108" s="73" t="n"/>
      <c r="I108" s="73" t="n"/>
    </row>
    <row r="109" ht="15" customHeight="1" s="39">
      <c r="A109" s="71" t="n"/>
      <c r="B109" s="72">
        <f>IF(A109="","",INT((A109-Overview!$B$5)/7)+1)</f>
        <v/>
      </c>
      <c r="C109" s="73" t="n"/>
      <c r="D109" s="73" t="n"/>
      <c r="E109" s="74" t="n"/>
      <c r="F109" s="73" t="n"/>
      <c r="G109" s="73" t="n"/>
      <c r="H109" s="73" t="n"/>
      <c r="I109" s="73" t="n"/>
    </row>
    <row r="110" ht="15" customHeight="1" s="39">
      <c r="A110" s="71" t="n"/>
      <c r="B110" s="72">
        <f>IF(A110="","",INT((A110-Overview!$B$5)/7)+1)</f>
        <v/>
      </c>
      <c r="C110" s="73" t="n"/>
      <c r="D110" s="73" t="n"/>
      <c r="E110" s="74" t="n"/>
      <c r="F110" s="73" t="n"/>
      <c r="G110" s="73" t="n"/>
      <c r="H110" s="73" t="n"/>
      <c r="I110" s="73" t="n"/>
    </row>
    <row r="111" ht="15" customHeight="1" s="39">
      <c r="A111" s="71" t="n"/>
      <c r="B111" s="72">
        <f>IF(A111="","",INT((A111-Overview!$B$5)/7)+1)</f>
        <v/>
      </c>
      <c r="C111" s="73" t="n"/>
      <c r="D111" s="73" t="n"/>
      <c r="E111" s="74" t="n"/>
      <c r="F111" s="73" t="n"/>
      <c r="G111" s="73" t="n"/>
      <c r="H111" s="73" t="n"/>
      <c r="I111" s="73" t="n"/>
    </row>
    <row r="112" ht="15" customHeight="1" s="39">
      <c r="A112" s="71" t="n"/>
      <c r="B112" s="72">
        <f>IF(A112="","",INT((A112-Overview!$B$5)/7)+1)</f>
        <v/>
      </c>
      <c r="C112" s="73" t="n"/>
      <c r="D112" s="73" t="n"/>
      <c r="E112" s="74" t="n"/>
      <c r="F112" s="73" t="n"/>
      <c r="G112" s="73" t="n"/>
      <c r="H112" s="73" t="n"/>
      <c r="I112" s="73" t="n"/>
    </row>
    <row r="113" ht="15" customHeight="1" s="39">
      <c r="A113" s="71" t="n"/>
      <c r="B113" s="72">
        <f>IF(A113="","",INT((A113-Overview!$B$5)/7)+1)</f>
        <v/>
      </c>
      <c r="C113" s="73" t="n"/>
      <c r="D113" s="73" t="n"/>
      <c r="E113" s="74" t="n"/>
      <c r="F113" s="73" t="n"/>
      <c r="G113" s="73" t="n"/>
      <c r="H113" s="73" t="n"/>
      <c r="I113" s="73" t="n"/>
    </row>
    <row r="114" ht="15" customHeight="1" s="39">
      <c r="A114" s="71" t="n"/>
      <c r="B114" s="72">
        <f>IF(A114="","",INT((A114-Overview!$B$5)/7)+1)</f>
        <v/>
      </c>
      <c r="C114" s="73" t="n"/>
      <c r="D114" s="73" t="n"/>
      <c r="E114" s="74" t="n"/>
      <c r="F114" s="73" t="n"/>
      <c r="G114" s="73" t="n"/>
      <c r="H114" s="73" t="n"/>
      <c r="I114" s="73" t="n"/>
    </row>
    <row r="115" ht="15" customHeight="1" s="39">
      <c r="A115" s="71" t="n"/>
      <c r="B115" s="72">
        <f>IF(A115="","",INT((A115-Overview!$B$5)/7)+1)</f>
        <v/>
      </c>
      <c r="C115" s="73" t="n"/>
      <c r="D115" s="73" t="n"/>
      <c r="E115" s="74" t="n"/>
      <c r="F115" s="73" t="n"/>
      <c r="G115" s="73" t="n"/>
      <c r="H115" s="73" t="n"/>
      <c r="I115" s="73" t="n"/>
    </row>
    <row r="116" ht="15" customHeight="1" s="39">
      <c r="A116" s="71" t="n"/>
      <c r="B116" s="72">
        <f>IF(A116="","",INT((A116-Overview!$B$5)/7)+1)</f>
        <v/>
      </c>
      <c r="C116" s="73" t="n"/>
      <c r="D116" s="73" t="n"/>
      <c r="E116" s="74" t="n"/>
      <c r="F116" s="73" t="n"/>
      <c r="G116" s="73" t="n"/>
      <c r="H116" s="73" t="n"/>
      <c r="I116" s="73" t="n"/>
    </row>
    <row r="117" ht="15" customHeight="1" s="39">
      <c r="A117" s="71" t="n"/>
      <c r="B117" s="72">
        <f>IF(A117="","",INT((A117-Overview!$B$5)/7)+1)</f>
        <v/>
      </c>
      <c r="C117" s="73" t="n"/>
      <c r="D117" s="73" t="n"/>
      <c r="E117" s="74" t="n"/>
      <c r="F117" s="73" t="n"/>
      <c r="G117" s="73" t="n"/>
      <c r="H117" s="73" t="n"/>
      <c r="I117" s="73" t="n"/>
    </row>
    <row r="118" ht="15" customHeight="1" s="39">
      <c r="A118" s="71" t="n"/>
      <c r="B118" s="72">
        <f>IF(A118="","",INT((A118-Overview!$B$5)/7)+1)</f>
        <v/>
      </c>
      <c r="C118" s="73" t="n"/>
      <c r="D118" s="73" t="n"/>
      <c r="E118" s="74" t="n"/>
      <c r="F118" s="73" t="n"/>
      <c r="G118" s="73" t="n"/>
      <c r="H118" s="73" t="n"/>
      <c r="I118" s="73" t="n"/>
    </row>
    <row r="119" ht="15" customHeight="1" s="39">
      <c r="A119" s="71" t="n"/>
      <c r="B119" s="72">
        <f>IF(A119="","",INT((A119-Overview!$B$5)/7)+1)</f>
        <v/>
      </c>
      <c r="C119" s="73" t="n"/>
      <c r="D119" s="73" t="n"/>
      <c r="E119" s="74" t="n"/>
      <c r="F119" s="73" t="n"/>
      <c r="G119" s="73" t="n"/>
      <c r="H119" s="73" t="n"/>
      <c r="I119" s="73" t="n"/>
    </row>
    <row r="120" ht="15" customHeight="1" s="39">
      <c r="A120" s="71" t="n"/>
      <c r="B120" s="72">
        <f>IF(A120="","",INT((A120-Overview!$B$5)/7)+1)</f>
        <v/>
      </c>
      <c r="C120" s="73" t="n"/>
      <c r="D120" s="73" t="n"/>
      <c r="E120" s="74" t="n"/>
      <c r="F120" s="73" t="n"/>
      <c r="G120" s="73" t="n"/>
      <c r="H120" s="73" t="n"/>
      <c r="I120" s="73" t="n"/>
    </row>
    <row r="121" ht="15" customHeight="1" s="39">
      <c r="A121" s="71" t="n"/>
      <c r="B121" s="72">
        <f>IF(A121="","",INT((A121-Overview!$B$5)/7)+1)</f>
        <v/>
      </c>
      <c r="C121" s="73" t="n"/>
      <c r="D121" s="73" t="n"/>
      <c r="E121" s="74" t="n"/>
      <c r="F121" s="73" t="n"/>
      <c r="G121" s="73" t="n"/>
      <c r="H121" s="73" t="n"/>
      <c r="I121" s="73" t="n"/>
    </row>
    <row r="122" ht="15" customHeight="1" s="39">
      <c r="A122" s="71" t="n"/>
      <c r="B122" s="72">
        <f>IF(A122="","",INT((A122-Overview!$B$5)/7)+1)</f>
        <v/>
      </c>
      <c r="C122" s="73" t="n"/>
      <c r="D122" s="73" t="n"/>
      <c r="E122" s="74" t="n"/>
      <c r="F122" s="73" t="n"/>
      <c r="G122" s="73" t="n"/>
      <c r="H122" s="73" t="n"/>
      <c r="I122" s="73" t="n"/>
    </row>
    <row r="123" ht="15" customHeight="1" s="39">
      <c r="A123" s="71" t="n"/>
      <c r="B123" s="72">
        <f>IF(A123="","",INT((A123-Overview!$B$5)/7)+1)</f>
        <v/>
      </c>
      <c r="C123" s="73" t="n"/>
      <c r="D123" s="73" t="n"/>
      <c r="E123" s="74" t="n"/>
      <c r="F123" s="73" t="n"/>
      <c r="G123" s="73" t="n"/>
      <c r="H123" s="73" t="n"/>
      <c r="I123" s="73" t="n"/>
    </row>
    <row r="124" ht="15" customHeight="1" s="39">
      <c r="A124" s="71" t="n"/>
      <c r="B124" s="72">
        <f>IF(A124="","",INT((A124-Overview!$B$5)/7)+1)</f>
        <v/>
      </c>
      <c r="C124" s="73" t="n"/>
      <c r="D124" s="73" t="n"/>
      <c r="E124" s="74" t="n"/>
      <c r="F124" s="73" t="n"/>
      <c r="G124" s="73" t="n"/>
      <c r="H124" s="73" t="n"/>
      <c r="I124" s="73" t="n"/>
    </row>
    <row r="125" ht="15" customHeight="1" s="39">
      <c r="A125" s="71" t="n"/>
      <c r="B125" s="72">
        <f>IF(A125="","",INT((A125-Overview!$B$5)/7)+1)</f>
        <v/>
      </c>
      <c r="C125" s="73" t="n"/>
      <c r="D125" s="73" t="n"/>
      <c r="E125" s="74" t="n"/>
      <c r="F125" s="73" t="n"/>
      <c r="G125" s="73" t="n"/>
      <c r="H125" s="73" t="n"/>
      <c r="I125" s="73" t="n"/>
    </row>
    <row r="126" ht="15" customHeight="1" s="39">
      <c r="A126" s="71" t="n"/>
      <c r="B126" s="72">
        <f>IF(A126="","",INT((A126-Overview!$B$5)/7)+1)</f>
        <v/>
      </c>
      <c r="C126" s="73" t="n"/>
      <c r="D126" s="73" t="n"/>
      <c r="E126" s="74" t="n"/>
      <c r="F126" s="73" t="n"/>
      <c r="G126" s="73" t="n"/>
      <c r="H126" s="73" t="n"/>
      <c r="I126" s="73" t="n"/>
    </row>
    <row r="127" ht="15" customHeight="1" s="39">
      <c r="A127" s="71" t="n"/>
      <c r="B127" s="72">
        <f>IF(A127="","",INT((A127-Overview!$B$5)/7)+1)</f>
        <v/>
      </c>
      <c r="C127" s="73" t="n"/>
      <c r="D127" s="73" t="n"/>
      <c r="E127" s="74" t="n"/>
      <c r="F127" s="73" t="n"/>
      <c r="G127" s="73" t="n"/>
      <c r="H127" s="73" t="n"/>
      <c r="I127" s="73" t="n"/>
    </row>
    <row r="128" ht="15" customHeight="1" s="39">
      <c r="A128" s="71" t="n"/>
      <c r="B128" s="72">
        <f>IF(A128="","",INT((A128-Overview!$B$5)/7)+1)</f>
        <v/>
      </c>
      <c r="C128" s="73" t="n"/>
      <c r="D128" s="73" t="n"/>
      <c r="E128" s="74" t="n"/>
      <c r="F128" s="73" t="n"/>
      <c r="G128" s="73" t="n"/>
      <c r="H128" s="73" t="n"/>
      <c r="I128" s="73" t="n"/>
    </row>
    <row r="129" ht="15" customHeight="1" s="39">
      <c r="A129" s="71" t="n"/>
      <c r="B129" s="72">
        <f>IF(A129="","",INT((A129-Overview!$B$5)/7)+1)</f>
        <v/>
      </c>
      <c r="C129" s="73" t="n"/>
      <c r="D129" s="73" t="n"/>
      <c r="E129" s="74" t="n"/>
      <c r="F129" s="73" t="n"/>
      <c r="G129" s="73" t="n"/>
      <c r="H129" s="73" t="n"/>
      <c r="I129" s="73" t="n"/>
    </row>
    <row r="130" ht="15" customHeight="1" s="39">
      <c r="A130" s="71" t="n"/>
      <c r="B130" s="72">
        <f>IF(A130="","",INT((A130-Overview!$B$5)/7)+1)</f>
        <v/>
      </c>
      <c r="C130" s="73" t="n"/>
      <c r="D130" s="73" t="n"/>
      <c r="E130" s="74" t="n"/>
      <c r="F130" s="73" t="n"/>
      <c r="G130" s="73" t="n"/>
      <c r="H130" s="73" t="n"/>
      <c r="I130" s="73" t="n"/>
    </row>
    <row r="131" ht="15" customHeight="1" s="39">
      <c r="A131" s="71" t="n"/>
      <c r="B131" s="72">
        <f>IF(A131="","",INT((A131-Overview!$B$5)/7)+1)</f>
        <v/>
      </c>
      <c r="C131" s="73" t="n"/>
      <c r="D131" s="73" t="n"/>
      <c r="E131" s="74" t="n"/>
      <c r="F131" s="73" t="n"/>
      <c r="G131" s="73" t="n"/>
      <c r="H131" s="73" t="n"/>
      <c r="I131" s="73" t="n"/>
    </row>
    <row r="132" ht="15" customHeight="1" s="39">
      <c r="A132" s="71" t="n"/>
      <c r="B132" s="72">
        <f>IF(A132="","",INT((A132-Overview!$B$5)/7)+1)</f>
        <v/>
      </c>
      <c r="C132" s="73" t="n"/>
      <c r="D132" s="73" t="n"/>
      <c r="E132" s="74" t="n"/>
      <c r="F132" s="73" t="n"/>
      <c r="G132" s="73" t="n"/>
      <c r="H132" s="73" t="n"/>
      <c r="I132" s="73" t="n"/>
    </row>
    <row r="133" ht="15" customHeight="1" s="39">
      <c r="A133" s="71" t="n"/>
      <c r="B133" s="72">
        <f>IF(A133="","",INT((A133-Overview!$B$5)/7)+1)</f>
        <v/>
      </c>
      <c r="C133" s="73" t="n"/>
      <c r="D133" s="73" t="n"/>
      <c r="E133" s="74" t="n"/>
      <c r="F133" s="73" t="n"/>
      <c r="G133" s="73" t="n"/>
      <c r="H133" s="73" t="n"/>
      <c r="I133" s="73" t="n"/>
    </row>
    <row r="134" ht="15" customHeight="1" s="39">
      <c r="A134" s="71" t="n"/>
      <c r="B134" s="72">
        <f>IF(A134="","",INT((A134-Overview!$B$5)/7)+1)</f>
        <v/>
      </c>
      <c r="C134" s="73" t="n"/>
      <c r="D134" s="73" t="n"/>
      <c r="E134" s="74" t="n"/>
      <c r="F134" s="73" t="n"/>
      <c r="G134" s="73" t="n"/>
      <c r="H134" s="73" t="n"/>
      <c r="I134" s="73" t="n"/>
    </row>
    <row r="135" ht="15" customHeight="1" s="39">
      <c r="A135" s="71" t="n"/>
      <c r="B135" s="72">
        <f>IF(A135="","",INT((A135-Overview!$B$5)/7)+1)</f>
        <v/>
      </c>
      <c r="C135" s="73" t="n"/>
      <c r="D135" s="73" t="n"/>
      <c r="E135" s="74" t="n"/>
      <c r="F135" s="73" t="n"/>
      <c r="G135" s="73" t="n"/>
      <c r="H135" s="73" t="n"/>
      <c r="I135" s="73" t="n"/>
    </row>
    <row r="136" ht="15" customHeight="1" s="39">
      <c r="A136" s="71" t="n"/>
      <c r="B136" s="72">
        <f>IF(A136="","",INT((A136-Overview!$B$5)/7)+1)</f>
        <v/>
      </c>
      <c r="C136" s="73" t="n"/>
      <c r="D136" s="73" t="n"/>
      <c r="E136" s="74" t="n"/>
      <c r="F136" s="73" t="n"/>
      <c r="G136" s="73" t="n"/>
      <c r="H136" s="73" t="n"/>
      <c r="I136" s="73" t="n"/>
    </row>
    <row r="137" ht="15" customHeight="1" s="39">
      <c r="A137" s="71" t="n"/>
      <c r="B137" s="72">
        <f>IF(A137="","",INT((A137-Overview!$B$5)/7)+1)</f>
        <v/>
      </c>
      <c r="C137" s="73" t="n"/>
      <c r="D137" s="73" t="n"/>
      <c r="E137" s="74" t="n"/>
      <c r="F137" s="73" t="n"/>
      <c r="G137" s="73" t="n"/>
      <c r="H137" s="73" t="n"/>
      <c r="I137" s="73" t="n"/>
    </row>
    <row r="138" ht="15" customHeight="1" s="39">
      <c r="A138" s="71" t="n"/>
      <c r="B138" s="72">
        <f>IF(A138="","",INT((A138-Overview!$B$5)/7)+1)</f>
        <v/>
      </c>
      <c r="C138" s="73" t="n"/>
      <c r="D138" s="73" t="n"/>
      <c r="E138" s="74" t="n"/>
      <c r="F138" s="73" t="n"/>
      <c r="G138" s="73" t="n"/>
      <c r="H138" s="73" t="n"/>
      <c r="I138" s="73" t="n"/>
    </row>
    <row r="139" ht="15" customHeight="1" s="39">
      <c r="A139" s="71" t="n"/>
      <c r="B139" s="72">
        <f>IF(A139="","",INT((A139-Overview!$B$5)/7)+1)</f>
        <v/>
      </c>
      <c r="C139" s="73" t="n"/>
      <c r="D139" s="73" t="n"/>
      <c r="E139" s="74" t="n"/>
      <c r="F139" s="73" t="n"/>
      <c r="G139" s="73" t="n"/>
      <c r="H139" s="73" t="n"/>
      <c r="I139" s="73" t="n"/>
    </row>
    <row r="140" ht="15" customHeight="1" s="39">
      <c r="A140" s="71" t="n"/>
      <c r="B140" s="72">
        <f>IF(A140="","",INT((A140-Overview!$B$5)/7)+1)</f>
        <v/>
      </c>
      <c r="C140" s="73" t="n"/>
      <c r="D140" s="73" t="n"/>
      <c r="E140" s="74" t="n"/>
      <c r="F140" s="73" t="n"/>
      <c r="G140" s="73" t="n"/>
      <c r="H140" s="73" t="n"/>
      <c r="I140" s="73" t="n"/>
    </row>
    <row r="141" ht="15" customHeight="1" s="39">
      <c r="A141" s="71" t="n"/>
      <c r="B141" s="72">
        <f>IF(A141="","",INT((A141-Overview!$B$5)/7)+1)</f>
        <v/>
      </c>
      <c r="C141" s="73" t="n"/>
      <c r="D141" s="73" t="n"/>
      <c r="E141" s="74" t="n"/>
      <c r="F141" s="73" t="n"/>
      <c r="G141" s="73" t="n"/>
      <c r="H141" s="73" t="n"/>
      <c r="I141" s="73" t="n"/>
    </row>
    <row r="142" ht="15" customHeight="1" s="39">
      <c r="A142" s="71" t="n"/>
      <c r="B142" s="72">
        <f>IF(A142="","",INT((A142-Overview!$B$5)/7)+1)</f>
        <v/>
      </c>
      <c r="C142" s="73" t="n"/>
      <c r="D142" s="73" t="n"/>
      <c r="E142" s="74" t="n"/>
      <c r="F142" s="73" t="n"/>
      <c r="G142" s="73" t="n"/>
      <c r="H142" s="73" t="n"/>
      <c r="I142" s="73" t="n"/>
    </row>
    <row r="143" ht="15" customHeight="1" s="39">
      <c r="A143" s="71" t="n"/>
      <c r="B143" s="72">
        <f>IF(A143="","",INT((A143-Overview!$B$5)/7)+1)</f>
        <v/>
      </c>
      <c r="C143" s="73" t="n"/>
      <c r="D143" s="73" t="n"/>
      <c r="E143" s="74" t="n"/>
      <c r="F143" s="73" t="n"/>
      <c r="G143" s="73" t="n"/>
      <c r="H143" s="73" t="n"/>
      <c r="I143" s="73" t="n"/>
    </row>
    <row r="144" ht="15" customHeight="1" s="39">
      <c r="A144" s="71" t="n"/>
      <c r="B144" s="72">
        <f>IF(A144="","",INT((A144-Overview!$B$5)/7)+1)</f>
        <v/>
      </c>
      <c r="C144" s="73" t="n"/>
      <c r="D144" s="73" t="n"/>
      <c r="E144" s="74" t="n"/>
      <c r="F144" s="73" t="n"/>
      <c r="G144" s="73" t="n"/>
      <c r="H144" s="73" t="n"/>
      <c r="I144" s="73" t="n"/>
    </row>
    <row r="145" ht="15" customHeight="1" s="39">
      <c r="A145" s="71" t="n"/>
      <c r="B145" s="72">
        <f>IF(A145="","",INT((A145-Overview!$B$5)/7)+1)</f>
        <v/>
      </c>
      <c r="C145" s="73" t="n"/>
      <c r="D145" s="73" t="n"/>
      <c r="E145" s="74" t="n"/>
      <c r="F145" s="73" t="n"/>
      <c r="G145" s="73" t="n"/>
      <c r="H145" s="73" t="n"/>
      <c r="I145" s="73" t="n"/>
    </row>
    <row r="146" ht="15" customHeight="1" s="39">
      <c r="A146" s="71" t="n"/>
      <c r="B146" s="72">
        <f>IF(A146="","",INT((A146-Overview!$B$5)/7)+1)</f>
        <v/>
      </c>
      <c r="C146" s="73" t="n"/>
      <c r="D146" s="73" t="n"/>
      <c r="E146" s="74" t="n"/>
      <c r="F146" s="73" t="n"/>
      <c r="G146" s="73" t="n"/>
      <c r="H146" s="73" t="n"/>
      <c r="I146" s="73" t="n"/>
    </row>
    <row r="147" ht="15" customHeight="1" s="39">
      <c r="A147" s="71" t="n"/>
      <c r="B147" s="72">
        <f>IF(A147="","",INT((A147-Overview!$B$5)/7)+1)</f>
        <v/>
      </c>
      <c r="C147" s="73" t="n"/>
      <c r="D147" s="73" t="n"/>
      <c r="E147" s="74" t="n"/>
      <c r="F147" s="73" t="n"/>
      <c r="G147" s="73" t="n"/>
      <c r="H147" s="73" t="n"/>
      <c r="I147" s="73" t="n"/>
    </row>
    <row r="148" ht="15" customHeight="1" s="39">
      <c r="A148" s="71" t="n"/>
      <c r="B148" s="72">
        <f>IF(A148="","",INT((A148-Overview!$B$5)/7)+1)</f>
        <v/>
      </c>
      <c r="C148" s="73" t="n"/>
      <c r="D148" s="73" t="n"/>
      <c r="E148" s="74" t="n"/>
      <c r="F148" s="73" t="n"/>
      <c r="G148" s="73" t="n"/>
      <c r="H148" s="73" t="n"/>
      <c r="I148" s="73" t="n"/>
    </row>
    <row r="149" ht="15" customHeight="1" s="39">
      <c r="A149" s="71" t="n"/>
      <c r="B149" s="72">
        <f>IF(A149="","",INT((A149-Overview!$B$5)/7)+1)</f>
        <v/>
      </c>
      <c r="C149" s="73" t="n"/>
      <c r="D149" s="73" t="n"/>
      <c r="E149" s="74" t="n"/>
      <c r="F149" s="73" t="n"/>
      <c r="G149" s="73" t="n"/>
      <c r="H149" s="73" t="n"/>
      <c r="I149" s="73" t="n"/>
    </row>
    <row r="150" ht="15" customHeight="1" s="39">
      <c r="A150" s="71" t="n"/>
      <c r="B150" s="72">
        <f>IF(A150="","",INT((A150-Overview!$B$5)/7)+1)</f>
        <v/>
      </c>
      <c r="C150" s="73" t="n"/>
      <c r="D150" s="73" t="n"/>
      <c r="E150" s="74" t="n"/>
      <c r="F150" s="73" t="n"/>
      <c r="G150" s="73" t="n"/>
      <c r="H150" s="73" t="n"/>
      <c r="I150" s="73" t="n"/>
    </row>
    <row r="151" ht="15" customHeight="1" s="39">
      <c r="A151" s="71" t="n"/>
      <c r="B151" s="72">
        <f>IF(A151="","",INT((A151-Overview!$B$5)/7)+1)</f>
        <v/>
      </c>
      <c r="C151" s="73" t="n"/>
      <c r="D151" s="73" t="n"/>
      <c r="E151" s="74" t="n"/>
      <c r="F151" s="73" t="n"/>
      <c r="G151" s="73" t="n"/>
      <c r="H151" s="73" t="n"/>
      <c r="I151" s="73" t="n"/>
    </row>
    <row r="152" ht="15" customHeight="1" s="39">
      <c r="A152" s="71" t="n"/>
      <c r="B152" s="72">
        <f>IF(A152="","",INT((A152-Overview!$B$5)/7)+1)</f>
        <v/>
      </c>
      <c r="C152" s="73" t="n"/>
      <c r="D152" s="73" t="n"/>
      <c r="E152" s="74" t="n"/>
      <c r="F152" s="73" t="n"/>
      <c r="G152" s="73" t="n"/>
      <c r="H152" s="73" t="n"/>
      <c r="I152" s="73" t="n"/>
    </row>
    <row r="153" ht="15" customHeight="1" s="39">
      <c r="A153" s="71" t="n"/>
      <c r="B153" s="72">
        <f>IF(A153="","",INT((A153-Overview!$B$5)/7)+1)</f>
        <v/>
      </c>
      <c r="C153" s="73" t="n"/>
      <c r="D153" s="73" t="n"/>
      <c r="E153" s="74" t="n"/>
      <c r="F153" s="73" t="n"/>
      <c r="G153" s="73" t="n"/>
      <c r="H153" s="73" t="n"/>
      <c r="I153" s="73" t="n"/>
    </row>
    <row r="154" ht="15" customHeight="1" s="39">
      <c r="A154" s="71" t="n"/>
      <c r="B154" s="72">
        <f>IF(A154="","",INT((A154-Overview!$B$5)/7)+1)</f>
        <v/>
      </c>
      <c r="C154" s="73" t="n"/>
      <c r="D154" s="73" t="n"/>
      <c r="E154" s="74" t="n"/>
      <c r="F154" s="73" t="n"/>
      <c r="G154" s="73" t="n"/>
      <c r="H154" s="73" t="n"/>
      <c r="I154" s="73" t="n"/>
    </row>
    <row r="155" ht="15" customHeight="1" s="39">
      <c r="A155" s="71" t="n"/>
      <c r="B155" s="72">
        <f>IF(A155="","",INT((A155-Overview!$B$5)/7)+1)</f>
        <v/>
      </c>
      <c r="C155" s="73" t="n"/>
      <c r="D155" s="73" t="n"/>
      <c r="E155" s="74" t="n"/>
      <c r="F155" s="73" t="n"/>
      <c r="G155" s="73" t="n"/>
      <c r="H155" s="73" t="n"/>
      <c r="I155" s="73" t="n"/>
    </row>
    <row r="156" ht="15" customHeight="1" s="39">
      <c r="A156" s="71" t="n"/>
      <c r="B156" s="72">
        <f>IF(A156="","",INT((A156-Overview!$B$5)/7)+1)</f>
        <v/>
      </c>
      <c r="C156" s="73" t="n"/>
      <c r="D156" s="73" t="n"/>
      <c r="E156" s="74" t="n"/>
      <c r="F156" s="73" t="n"/>
      <c r="G156" s="73" t="n"/>
      <c r="H156" s="73" t="n"/>
      <c r="I156" s="73" t="n"/>
    </row>
    <row r="157" ht="15" customHeight="1" s="39">
      <c r="A157" s="71" t="n"/>
      <c r="B157" s="72">
        <f>IF(A157="","",INT((A157-Overview!$B$5)/7)+1)</f>
        <v/>
      </c>
      <c r="C157" s="73" t="n"/>
      <c r="D157" s="73" t="n"/>
      <c r="E157" s="74" t="n"/>
      <c r="F157" s="73" t="n"/>
      <c r="G157" s="73" t="n"/>
      <c r="H157" s="73" t="n"/>
      <c r="I157" s="73" t="n"/>
    </row>
    <row r="158" ht="15" customHeight="1" s="39">
      <c r="A158" s="71" t="n"/>
      <c r="B158" s="72">
        <f>IF(A158="","",INT((A158-Overview!$B$5)/7)+1)</f>
        <v/>
      </c>
      <c r="C158" s="73" t="n"/>
      <c r="D158" s="73" t="n"/>
      <c r="E158" s="74" t="n"/>
      <c r="F158" s="73" t="n"/>
      <c r="G158" s="73" t="n"/>
      <c r="H158" s="73" t="n"/>
      <c r="I158" s="73" t="n"/>
    </row>
    <row r="159" ht="15" customHeight="1" s="39">
      <c r="A159" s="71" t="n"/>
      <c r="B159" s="72">
        <f>IF(A159="","",INT((A159-Overview!$B$5)/7)+1)</f>
        <v/>
      </c>
      <c r="C159" s="73" t="n"/>
      <c r="D159" s="73" t="n"/>
      <c r="E159" s="74" t="n"/>
      <c r="F159" s="73" t="n"/>
      <c r="G159" s="73" t="n"/>
      <c r="H159" s="73" t="n"/>
      <c r="I159" s="73" t="n"/>
    </row>
    <row r="160" ht="15" customHeight="1" s="39">
      <c r="A160" s="71" t="n"/>
      <c r="B160" s="72">
        <f>IF(A160="","",INT((A160-Overview!$B$5)/7)+1)</f>
        <v/>
      </c>
      <c r="C160" s="73" t="n"/>
      <c r="D160" s="73" t="n"/>
      <c r="E160" s="74" t="n"/>
      <c r="F160" s="73" t="n"/>
      <c r="G160" s="73" t="n"/>
      <c r="H160" s="73" t="n"/>
      <c r="I160" s="73" t="n"/>
    </row>
    <row r="161" ht="15" customHeight="1" s="39">
      <c r="A161" s="71" t="n"/>
      <c r="B161" s="72">
        <f>IF(A161="","",INT((A161-Overview!$B$5)/7)+1)</f>
        <v/>
      </c>
      <c r="C161" s="73" t="n"/>
      <c r="D161" s="73" t="n"/>
      <c r="E161" s="74" t="n"/>
      <c r="F161" s="73" t="n"/>
      <c r="G161" s="73" t="n"/>
      <c r="H161" s="73" t="n"/>
      <c r="I161" s="73" t="n"/>
    </row>
    <row r="162" ht="15" customHeight="1" s="39">
      <c r="A162" s="71" t="n"/>
      <c r="B162" s="72">
        <f>IF(A162="","",INT((A162-Overview!$B$5)/7)+1)</f>
        <v/>
      </c>
      <c r="C162" s="73" t="n"/>
      <c r="D162" s="73" t="n"/>
      <c r="E162" s="74" t="n"/>
      <c r="F162" s="73" t="n"/>
      <c r="G162" s="73" t="n"/>
      <c r="H162" s="73" t="n"/>
      <c r="I162" s="73" t="n"/>
    </row>
    <row r="163" ht="15" customHeight="1" s="39">
      <c r="A163" s="71" t="n"/>
      <c r="B163" s="72">
        <f>IF(A163="","",INT((A163-Overview!$B$5)/7)+1)</f>
        <v/>
      </c>
      <c r="C163" s="73" t="n"/>
      <c r="D163" s="73" t="n"/>
      <c r="E163" s="74" t="n"/>
      <c r="F163" s="73" t="n"/>
      <c r="G163" s="73" t="n"/>
      <c r="H163" s="73" t="n"/>
      <c r="I163" s="73" t="n"/>
    </row>
    <row r="164" ht="15" customHeight="1" s="39">
      <c r="A164" s="71" t="n"/>
      <c r="B164" s="72">
        <f>IF(A164="","",INT((A164-Overview!$B$5)/7)+1)</f>
        <v/>
      </c>
      <c r="C164" s="73" t="n"/>
      <c r="D164" s="73" t="n"/>
      <c r="E164" s="74" t="n"/>
      <c r="F164" s="73" t="n"/>
      <c r="G164" s="73" t="n"/>
      <c r="H164" s="73" t="n"/>
      <c r="I164" s="73" t="n"/>
    </row>
    <row r="165" ht="15" customHeight="1" s="39">
      <c r="A165" s="71" t="n"/>
      <c r="B165" s="72">
        <f>IF(A165="","",INT((A165-Overview!$B$5)/7)+1)</f>
        <v/>
      </c>
      <c r="C165" s="73" t="n"/>
      <c r="D165" s="73" t="n"/>
      <c r="E165" s="74" t="n"/>
      <c r="F165" s="73" t="n"/>
      <c r="G165" s="73" t="n"/>
      <c r="H165" s="73" t="n"/>
      <c r="I165" s="73" t="n"/>
    </row>
    <row r="166" ht="15" customHeight="1" s="39">
      <c r="A166" s="71" t="n"/>
      <c r="B166" s="72">
        <f>IF(A166="","",INT((A166-Overview!$B$5)/7)+1)</f>
        <v/>
      </c>
      <c r="C166" s="73" t="n"/>
      <c r="D166" s="73" t="n"/>
      <c r="E166" s="74" t="n"/>
      <c r="F166" s="73" t="n"/>
      <c r="G166" s="73" t="n"/>
      <c r="H166" s="73" t="n"/>
      <c r="I166" s="73" t="n"/>
    </row>
    <row r="167" ht="15" customHeight="1" s="39">
      <c r="A167" s="71" t="n"/>
      <c r="B167" s="72">
        <f>IF(A167="","",INT((A167-Overview!$B$5)/7)+1)</f>
        <v/>
      </c>
      <c r="C167" s="73" t="n"/>
      <c r="D167" s="73" t="n"/>
      <c r="E167" s="74" t="n"/>
      <c r="F167" s="73" t="n"/>
      <c r="G167" s="73" t="n"/>
      <c r="H167" s="73" t="n"/>
      <c r="I167" s="73" t="n"/>
    </row>
    <row r="168" ht="15" customHeight="1" s="39">
      <c r="A168" s="71" t="n"/>
      <c r="B168" s="72">
        <f>IF(A168="","",INT((A168-Overview!$B$5)/7)+1)</f>
        <v/>
      </c>
      <c r="C168" s="73" t="n"/>
      <c r="D168" s="73" t="n"/>
      <c r="E168" s="74" t="n"/>
      <c r="F168" s="73" t="n"/>
      <c r="G168" s="73" t="n"/>
      <c r="H168" s="73" t="n"/>
      <c r="I168" s="73" t="n"/>
    </row>
    <row r="169" ht="15" customHeight="1" s="39">
      <c r="A169" s="71" t="n"/>
      <c r="B169" s="72">
        <f>IF(A169="","",INT((A169-Overview!$B$5)/7)+1)</f>
        <v/>
      </c>
      <c r="C169" s="73" t="n"/>
      <c r="D169" s="73" t="n"/>
      <c r="E169" s="74" t="n"/>
      <c r="F169" s="73" t="n"/>
      <c r="G169" s="73" t="n"/>
      <c r="H169" s="73" t="n"/>
      <c r="I169" s="73" t="n"/>
    </row>
    <row r="170" ht="15" customHeight="1" s="39">
      <c r="A170" s="71" t="n"/>
      <c r="B170" s="72">
        <f>IF(A170="","",INT((A170-Overview!$B$5)/7)+1)</f>
        <v/>
      </c>
      <c r="C170" s="73" t="n"/>
      <c r="D170" s="73" t="n"/>
      <c r="E170" s="74" t="n"/>
      <c r="F170" s="73" t="n"/>
      <c r="G170" s="73" t="n"/>
      <c r="H170" s="73" t="n"/>
      <c r="I170" s="73" t="n"/>
    </row>
    <row r="171" ht="15" customHeight="1" s="39">
      <c r="A171" s="71" t="n"/>
      <c r="B171" s="72">
        <f>IF(A171="","",INT((A171-Overview!$B$5)/7)+1)</f>
        <v/>
      </c>
      <c r="C171" s="73" t="n"/>
      <c r="D171" s="73" t="n"/>
      <c r="E171" s="74" t="n"/>
      <c r="F171" s="73" t="n"/>
      <c r="G171" s="73" t="n"/>
      <c r="H171" s="73" t="n"/>
      <c r="I171" s="73" t="n"/>
    </row>
    <row r="172" ht="15" customHeight="1" s="39">
      <c r="A172" s="71" t="n"/>
      <c r="B172" s="72">
        <f>IF(A172="","",INT((A172-Overview!$B$5)/7)+1)</f>
        <v/>
      </c>
      <c r="C172" s="73" t="n"/>
      <c r="D172" s="73" t="n"/>
      <c r="E172" s="74" t="n"/>
      <c r="F172" s="73" t="n"/>
      <c r="G172" s="73" t="n"/>
      <c r="H172" s="73" t="n"/>
      <c r="I172" s="73" t="n"/>
    </row>
    <row r="173" ht="15" customHeight="1" s="39">
      <c r="A173" s="71" t="n"/>
      <c r="B173" s="72">
        <f>IF(A173="","",INT((A173-Overview!$B$5)/7)+1)</f>
        <v/>
      </c>
      <c r="C173" s="73" t="n"/>
      <c r="D173" s="73" t="n"/>
      <c r="E173" s="74" t="n"/>
      <c r="F173" s="73" t="n"/>
      <c r="G173" s="73" t="n"/>
      <c r="H173" s="73" t="n"/>
      <c r="I173" s="73" t="n"/>
    </row>
    <row r="174" ht="15" customHeight="1" s="39">
      <c r="A174" s="71" t="n"/>
      <c r="B174" s="72">
        <f>IF(A174="","",INT((A174-Overview!$B$5)/7)+1)</f>
        <v/>
      </c>
      <c r="C174" s="73" t="n"/>
      <c r="D174" s="73" t="n"/>
      <c r="E174" s="74" t="n"/>
      <c r="F174" s="73" t="n"/>
      <c r="G174" s="73" t="n"/>
      <c r="H174" s="73" t="n"/>
      <c r="I174" s="73" t="n"/>
    </row>
    <row r="175" ht="15" customHeight="1" s="39">
      <c r="A175" s="71" t="n"/>
      <c r="B175" s="72">
        <f>IF(A175="","",INT((A175-Overview!$B$5)/7)+1)</f>
        <v/>
      </c>
      <c r="C175" s="73" t="n"/>
      <c r="D175" s="73" t="n"/>
      <c r="E175" s="74" t="n"/>
      <c r="F175" s="73" t="n"/>
      <c r="G175" s="73" t="n"/>
      <c r="H175" s="73" t="n"/>
      <c r="I175" s="73" t="n"/>
    </row>
    <row r="176" ht="15" customHeight="1" s="39">
      <c r="A176" s="71" t="n"/>
      <c r="B176" s="72">
        <f>IF(A176="","",INT((A176-Overview!$B$5)/7)+1)</f>
        <v/>
      </c>
      <c r="C176" s="73" t="n"/>
      <c r="D176" s="73" t="n"/>
      <c r="E176" s="74" t="n"/>
      <c r="F176" s="73" t="n"/>
      <c r="G176" s="73" t="n"/>
      <c r="H176" s="73" t="n"/>
      <c r="I176" s="73" t="n"/>
    </row>
    <row r="177" ht="15" customHeight="1" s="39">
      <c r="A177" s="71" t="n"/>
      <c r="B177" s="72">
        <f>IF(A177="","",INT((A177-Overview!$B$5)/7)+1)</f>
        <v/>
      </c>
      <c r="C177" s="73" t="n"/>
      <c r="D177" s="73" t="n"/>
      <c r="E177" s="74" t="n"/>
      <c r="F177" s="73" t="n"/>
      <c r="G177" s="73" t="n"/>
      <c r="H177" s="73" t="n"/>
      <c r="I177" s="73" t="n"/>
    </row>
    <row r="178" ht="15" customHeight="1" s="39">
      <c r="A178" s="71" t="n"/>
      <c r="B178" s="72">
        <f>IF(A178="","",INT((A178-Overview!$B$5)/7)+1)</f>
        <v/>
      </c>
      <c r="C178" s="73" t="n"/>
      <c r="D178" s="73" t="n"/>
      <c r="E178" s="74" t="n"/>
      <c r="F178" s="73" t="n"/>
      <c r="G178" s="73" t="n"/>
      <c r="H178" s="73" t="n"/>
      <c r="I178" s="73" t="n"/>
    </row>
    <row r="179" ht="15" customHeight="1" s="39">
      <c r="A179" s="71" t="n"/>
      <c r="B179" s="72">
        <f>IF(A179="","",INT((A179-Overview!$B$5)/7)+1)</f>
        <v/>
      </c>
      <c r="C179" s="73" t="n"/>
      <c r="D179" s="73" t="n"/>
      <c r="E179" s="74" t="n"/>
      <c r="F179" s="73" t="n"/>
      <c r="G179" s="73" t="n"/>
      <c r="H179" s="73" t="n"/>
      <c r="I179" s="73" t="n"/>
    </row>
    <row r="180" ht="15" customHeight="1" s="39">
      <c r="A180" s="71" t="n"/>
      <c r="B180" s="72">
        <f>IF(A180="","",INT((A180-Overview!$B$5)/7)+1)</f>
        <v/>
      </c>
      <c r="C180" s="73" t="n"/>
      <c r="D180" s="73" t="n"/>
      <c r="E180" s="74" t="n"/>
      <c r="F180" s="73" t="n"/>
      <c r="G180" s="73" t="n"/>
      <c r="H180" s="73" t="n"/>
      <c r="I180" s="73" t="n"/>
    </row>
    <row r="181" ht="15" customHeight="1" s="39">
      <c r="A181" s="71" t="n"/>
      <c r="B181" s="72">
        <f>IF(A181="","",INT((A181-Overview!$B$5)/7)+1)</f>
        <v/>
      </c>
      <c r="C181" s="73" t="n"/>
      <c r="D181" s="73" t="n"/>
      <c r="E181" s="74" t="n"/>
      <c r="F181" s="73" t="n"/>
      <c r="G181" s="73" t="n"/>
      <c r="H181" s="73" t="n"/>
      <c r="I181" s="73" t="n"/>
    </row>
    <row r="182" ht="15" customHeight="1" s="39">
      <c r="A182" s="71" t="n"/>
      <c r="B182" s="72">
        <f>IF(A182="","",INT((A182-Overview!$B$5)/7)+1)</f>
        <v/>
      </c>
      <c r="C182" s="73" t="n"/>
      <c r="D182" s="73" t="n"/>
      <c r="E182" s="74" t="n"/>
      <c r="F182" s="73" t="n"/>
      <c r="G182" s="73" t="n"/>
      <c r="H182" s="73" t="n"/>
      <c r="I182" s="73" t="n"/>
    </row>
    <row r="183" ht="15" customHeight="1" s="39">
      <c r="A183" s="71" t="n"/>
      <c r="B183" s="72">
        <f>IF(A183="","",INT((A183-Overview!$B$5)/7)+1)</f>
        <v/>
      </c>
      <c r="C183" s="73" t="n"/>
      <c r="D183" s="73" t="n"/>
      <c r="E183" s="74" t="n"/>
      <c r="F183" s="73" t="n"/>
      <c r="G183" s="73" t="n"/>
      <c r="H183" s="73" t="n"/>
      <c r="I183" s="73" t="n"/>
    </row>
    <row r="184" ht="15" customHeight="1" s="39">
      <c r="A184" s="71" t="n"/>
      <c r="B184" s="72">
        <f>IF(A184="","",INT((A184-Overview!$B$5)/7)+1)</f>
        <v/>
      </c>
      <c r="C184" s="73" t="n"/>
      <c r="D184" s="73" t="n"/>
      <c r="E184" s="74" t="n"/>
      <c r="F184" s="73" t="n"/>
      <c r="G184" s="73" t="n"/>
      <c r="H184" s="73" t="n"/>
      <c r="I184" s="73" t="n"/>
    </row>
    <row r="185" ht="15" customHeight="1" s="39">
      <c r="A185" s="71" t="n"/>
      <c r="B185" s="72">
        <f>IF(A185="","",INT((A185-Overview!$B$5)/7)+1)</f>
        <v/>
      </c>
      <c r="C185" s="73" t="n"/>
      <c r="D185" s="73" t="n"/>
      <c r="E185" s="74" t="n"/>
      <c r="F185" s="73" t="n"/>
      <c r="G185" s="73" t="n"/>
      <c r="H185" s="73" t="n"/>
      <c r="I185" s="73" t="n"/>
    </row>
    <row r="186" ht="15" customHeight="1" s="39">
      <c r="A186" s="71" t="n"/>
      <c r="B186" s="72">
        <f>IF(A186="","",INT((A186-Overview!$B$5)/7)+1)</f>
        <v/>
      </c>
      <c r="C186" s="73" t="n"/>
      <c r="D186" s="73" t="n"/>
      <c r="E186" s="74" t="n"/>
      <c r="F186" s="73" t="n"/>
      <c r="G186" s="73" t="n"/>
      <c r="H186" s="73" t="n"/>
      <c r="I186" s="73" t="n"/>
    </row>
    <row r="187" ht="15" customHeight="1" s="39">
      <c r="A187" s="71" t="n"/>
      <c r="B187" s="72">
        <f>IF(A187="","",INT((A187-Overview!$B$5)/7)+1)</f>
        <v/>
      </c>
      <c r="C187" s="73" t="n"/>
      <c r="D187" s="73" t="n"/>
      <c r="E187" s="74" t="n"/>
      <c r="F187" s="73" t="n"/>
      <c r="G187" s="73" t="n"/>
      <c r="H187" s="73" t="n"/>
      <c r="I187" s="73" t="n"/>
    </row>
    <row r="188" ht="15" customHeight="1" s="39">
      <c r="A188" s="71" t="n"/>
      <c r="B188" s="72">
        <f>IF(A188="","",INT((A188-Overview!$B$5)/7)+1)</f>
        <v/>
      </c>
      <c r="C188" s="73" t="n"/>
      <c r="D188" s="73" t="n"/>
      <c r="E188" s="74" t="n"/>
      <c r="F188" s="73" t="n"/>
      <c r="G188" s="73" t="n"/>
      <c r="H188" s="73" t="n"/>
      <c r="I188" s="73" t="n"/>
    </row>
    <row r="189" ht="15" customHeight="1" s="39">
      <c r="A189" s="71" t="n"/>
      <c r="B189" s="72">
        <f>IF(A189="","",INT((A189-Overview!$B$5)/7)+1)</f>
        <v/>
      </c>
      <c r="C189" s="73" t="n"/>
      <c r="D189" s="73" t="n"/>
      <c r="E189" s="74" t="n"/>
      <c r="F189" s="73" t="n"/>
      <c r="G189" s="73" t="n"/>
      <c r="H189" s="73" t="n"/>
      <c r="I189" s="73" t="n"/>
    </row>
    <row r="190" ht="15" customHeight="1" s="39">
      <c r="A190" s="71" t="n"/>
      <c r="B190" s="72">
        <f>IF(A190="","",INT((A190-Overview!$B$5)/7)+1)</f>
        <v/>
      </c>
      <c r="C190" s="73" t="n"/>
      <c r="D190" s="73" t="n"/>
      <c r="E190" s="74" t="n"/>
      <c r="F190" s="73" t="n"/>
      <c r="G190" s="73" t="n"/>
      <c r="H190" s="73" t="n"/>
      <c r="I190" s="73" t="n"/>
    </row>
    <row r="191" ht="15" customHeight="1" s="39">
      <c r="A191" s="71" t="n"/>
      <c r="B191" s="72">
        <f>IF(A191="","",INT((A191-Overview!$B$5)/7)+1)</f>
        <v/>
      </c>
      <c r="C191" s="73" t="n"/>
      <c r="D191" s="73" t="n"/>
      <c r="E191" s="74" t="n"/>
      <c r="F191" s="73" t="n"/>
      <c r="G191" s="73" t="n"/>
      <c r="H191" s="73" t="n"/>
      <c r="I191" s="73" t="n"/>
    </row>
    <row r="192" ht="15" customHeight="1" s="39">
      <c r="A192" s="71" t="n"/>
      <c r="B192" s="72">
        <f>IF(A192="","",INT((A192-Overview!$B$5)/7)+1)</f>
        <v/>
      </c>
      <c r="C192" s="73" t="n"/>
      <c r="D192" s="73" t="n"/>
      <c r="E192" s="74" t="n"/>
      <c r="F192" s="73" t="n"/>
      <c r="G192" s="73" t="n"/>
      <c r="H192" s="73" t="n"/>
      <c r="I192" s="73" t="n"/>
    </row>
    <row r="193" ht="15" customHeight="1" s="39">
      <c r="A193" s="71" t="n"/>
      <c r="B193" s="72">
        <f>IF(A193="","",INT((A193-Overview!$B$5)/7)+1)</f>
        <v/>
      </c>
      <c r="C193" s="73" t="n"/>
      <c r="D193" s="73" t="n"/>
      <c r="E193" s="74" t="n"/>
      <c r="F193" s="73" t="n"/>
      <c r="G193" s="73" t="n"/>
      <c r="H193" s="73" t="n"/>
      <c r="I193" s="73" t="n"/>
    </row>
    <row r="194" ht="15" customHeight="1" s="39">
      <c r="A194" s="71" t="n"/>
      <c r="B194" s="72">
        <f>IF(A194="","",INT((A194-Overview!$B$5)/7)+1)</f>
        <v/>
      </c>
      <c r="C194" s="73" t="n"/>
      <c r="D194" s="73" t="n"/>
      <c r="E194" s="74" t="n"/>
      <c r="F194" s="73" t="n"/>
      <c r="G194" s="73" t="n"/>
      <c r="H194" s="73" t="n"/>
      <c r="I194" s="73" t="n"/>
    </row>
    <row r="195" ht="15" customHeight="1" s="39">
      <c r="A195" s="71" t="n"/>
      <c r="B195" s="72">
        <f>IF(A195="","",INT((A195-Overview!$B$5)/7)+1)</f>
        <v/>
      </c>
      <c r="C195" s="73" t="n"/>
      <c r="D195" s="73" t="n"/>
      <c r="E195" s="74" t="n"/>
      <c r="F195" s="73" t="n"/>
      <c r="G195" s="73" t="n"/>
      <c r="H195" s="73" t="n"/>
      <c r="I195" s="73" t="n"/>
    </row>
    <row r="196" ht="15" customHeight="1" s="39">
      <c r="A196" s="71" t="n"/>
      <c r="B196" s="72">
        <f>IF(A196="","",INT((A196-Overview!$B$5)/7)+1)</f>
        <v/>
      </c>
      <c r="C196" s="73" t="n"/>
      <c r="D196" s="73" t="n"/>
      <c r="E196" s="74" t="n"/>
      <c r="F196" s="73" t="n"/>
      <c r="G196" s="73" t="n"/>
      <c r="H196" s="73" t="n"/>
      <c r="I196" s="73" t="n"/>
    </row>
    <row r="197" ht="15" customHeight="1" s="39">
      <c r="A197" s="71" t="n"/>
      <c r="B197" s="72">
        <f>IF(A197="","",INT((A197-Overview!$B$5)/7)+1)</f>
        <v/>
      </c>
      <c r="C197" s="73" t="n"/>
      <c r="D197" s="73" t="n"/>
      <c r="E197" s="74" t="n"/>
      <c r="F197" s="73" t="n"/>
      <c r="G197" s="73" t="n"/>
      <c r="H197" s="73" t="n"/>
      <c r="I197" s="73" t="n"/>
    </row>
    <row r="198" ht="15" customHeight="1" s="39">
      <c r="A198" s="71" t="n"/>
      <c r="B198" s="72">
        <f>IF(A198="","",INT((A198-Overview!$B$5)/7)+1)</f>
        <v/>
      </c>
      <c r="C198" s="73" t="n"/>
      <c r="D198" s="73" t="n"/>
      <c r="E198" s="74" t="n"/>
      <c r="F198" s="73" t="n"/>
      <c r="G198" s="73" t="n"/>
      <c r="H198" s="73" t="n"/>
      <c r="I198" s="73" t="n"/>
    </row>
    <row r="199" ht="15" customHeight="1" s="39">
      <c r="A199" s="71" t="n"/>
      <c r="B199" s="72">
        <f>IF(A199="","",INT((A199-Overview!$B$5)/7)+1)</f>
        <v/>
      </c>
      <c r="C199" s="73" t="n"/>
      <c r="D199" s="73" t="n"/>
      <c r="E199" s="74" t="n"/>
      <c r="F199" s="73" t="n"/>
      <c r="G199" s="73" t="n"/>
      <c r="H199" s="73" t="n"/>
      <c r="I199" s="73" t="n"/>
    </row>
    <row r="200" ht="15" customHeight="1" s="39">
      <c r="A200" s="71" t="n"/>
      <c r="B200" s="72">
        <f>IF(A200="","",INT((A200-Overview!$B$5)/7)+1)</f>
        <v/>
      </c>
      <c r="C200" s="73" t="n"/>
      <c r="D200" s="73" t="n"/>
      <c r="E200" s="74" t="n"/>
      <c r="F200" s="73" t="n"/>
      <c r="G200" s="73" t="n"/>
      <c r="H200" s="73" t="n"/>
      <c r="I200" s="73" t="n"/>
    </row>
  </sheetData>
  <conditionalFormatting sqref="H2:H200">
    <cfRule type="cellIs" rank="0" priority="2" equalAverage="0" operator="greaterThanOrEqual" aboveAverage="0" dxfId="0" text="" percent="0" bottom="0">
      <formula>4</formula>
    </cfRule>
  </conditionalFormatting>
  <dataValidations count="1">
    <dataValidation sqref="C2:C200" showDropDown="0" showInputMessage="0" showErrorMessage="0" allowBlank="1" type="list" errorStyle="stop" operator="between">
      <formula1>"Mon: Lower + EMOM,Tue: Run + arms,Fri: Upper + EMOM + arms,Sat: HYROX sim,Sun: easy run,Hockey,Race"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1" max="1"/>
    <col width="11" customWidth="1" style="38" min="2" max="5"/>
    <col width="20" customWidth="1" style="38" min="6" max="6"/>
    <col width="14" customWidth="1" style="38" min="7" max="7"/>
  </cols>
  <sheetData>
    <row r="1" ht="15" customHeight="1" s="39">
      <c r="A1" s="48" t="inlineStr">
        <is>
          <t>Test (all times m:ss or h:mm:ss)</t>
        </is>
      </c>
      <c r="B1" s="48" t="inlineStr">
        <is>
          <t>Week 1</t>
        </is>
      </c>
      <c r="C1" s="48" t="inlineStr">
        <is>
          <t>Week 8</t>
        </is>
      </c>
      <c r="D1" s="48" t="inlineStr">
        <is>
          <t>Week 16</t>
        </is>
      </c>
      <c r="E1" s="48" t="inlineStr">
        <is>
          <t>Week 20</t>
        </is>
      </c>
      <c r="F1" s="48" t="inlineStr">
        <is>
          <t>Change wk1 to latest</t>
        </is>
      </c>
      <c r="G1" s="48" t="inlineStr">
        <is>
          <t>Race target</t>
        </is>
      </c>
    </row>
    <row r="2" ht="15" customHeight="1" s="39">
      <c r="A2" s="41" t="inlineStr">
        <is>
          <t>1 km run, all out</t>
        </is>
      </c>
      <c r="B2" s="75" t="n"/>
      <c r="C2" s="75" t="n"/>
      <c r="D2" s="75" t="n"/>
      <c r="E2" s="75" t="n"/>
      <c r="F2" s="76">
        <f>IF(COUNT(B2:E2)&lt;2,"",LOOKUP(2,1/(C2:E2&lt;&gt;""),C2:E2)-B2)</f>
        <v/>
      </c>
      <c r="G2" s="73" t="inlineStr">
        <is>
          <t>3:45</t>
        </is>
      </c>
    </row>
    <row r="3" ht="15" customHeight="1" s="39">
      <c r="A3" s="41" t="inlineStr">
        <is>
          <t>5 km run</t>
        </is>
      </c>
      <c r="B3" s="75" t="n"/>
      <c r="C3" s="75" t="n"/>
      <c r="D3" s="75" t="n"/>
      <c r="E3" s="75" t="n"/>
      <c r="F3" s="76">
        <f>IF(COUNT(B3:E3)&lt;2,"",LOOKUP(2,1/(C3:E3&lt;&gt;""),C3:E3)-B3)</f>
        <v/>
      </c>
      <c r="G3" s="73" t="inlineStr">
        <is>
          <t>22:30</t>
        </is>
      </c>
    </row>
    <row r="4" ht="15" customHeight="1" s="39">
      <c r="A4" s="41" t="inlineStr">
        <is>
          <t>SkiErg 1000 m</t>
        </is>
      </c>
      <c r="B4" s="75" t="n"/>
      <c r="C4" s="75" t="n"/>
      <c r="D4" s="75" t="n"/>
      <c r="E4" s="75" t="n"/>
      <c r="F4" s="76">
        <f>IF(COUNT(B4:E4)&lt;2,"",LOOKUP(2,1/(C4:E4&lt;&gt;""),C4:E4)-B4)</f>
        <v/>
      </c>
      <c r="G4" s="73" t="inlineStr">
        <is>
          <t>4:15</t>
        </is>
      </c>
    </row>
    <row r="5" ht="15" customHeight="1" s="39">
      <c r="A5" s="41" t="inlineStr">
        <is>
          <t>Row 1000 m</t>
        </is>
      </c>
      <c r="B5" s="75" t="n"/>
      <c r="C5" s="75" t="n"/>
      <c r="D5" s="75" t="n"/>
      <c r="E5" s="75" t="n"/>
      <c r="F5" s="76">
        <f>IF(COUNT(B5:E5)&lt;2,"",LOOKUP(2,1/(C5:E5&lt;&gt;""),C5:E5)-B5)</f>
        <v/>
      </c>
      <c r="G5" s="73" t="inlineStr">
        <is>
          <t>3:55</t>
        </is>
      </c>
    </row>
    <row r="6" ht="15" customHeight="1" s="39">
      <c r="A6" s="41" t="inlineStr">
        <is>
          <t>100 wall balls (6 kg)</t>
        </is>
      </c>
      <c r="B6" s="75" t="n"/>
      <c r="C6" s="75" t="n"/>
      <c r="D6" s="75" t="n"/>
      <c r="E6" s="75" t="n"/>
      <c r="F6" s="76">
        <f>IF(COUNT(B6:E6)&lt;2,"",LOOKUP(2,1/(C6:E6&lt;&gt;""),C6:E6)-B6)</f>
        <v/>
      </c>
      <c r="G6" s="73" t="inlineStr">
        <is>
          <t>6:00</t>
        </is>
      </c>
    </row>
    <row r="7" ht="15" customHeight="1" s="39">
      <c r="A7" s="41" t="inlineStr">
        <is>
          <t>Sled push 50 m (152 kg)</t>
        </is>
      </c>
      <c r="B7" s="75" t="n"/>
      <c r="C7" s="75" t="n"/>
      <c r="D7" s="75" t="n"/>
      <c r="E7" s="75" t="n"/>
      <c r="F7" s="76">
        <f>IF(COUNT(B7:E7)&lt;2,"",LOOKUP(2,1/(C7:E7&lt;&gt;""),C7:E7)-B7)</f>
        <v/>
      </c>
      <c r="G7" s="73" t="inlineStr">
        <is>
          <t>2:30</t>
        </is>
      </c>
    </row>
    <row r="8" ht="15" customHeight="1" s="39">
      <c r="A8" s="41" t="inlineStr">
        <is>
          <t>Farmers carry 200 m (2 x 24 kg)</t>
        </is>
      </c>
      <c r="B8" s="75" t="n"/>
      <c r="C8" s="75" t="n"/>
      <c r="D8" s="75" t="n"/>
      <c r="E8" s="75" t="n"/>
      <c r="F8" s="76">
        <f>IF(COUNT(B8:E8)&lt;2,"",LOOKUP(2,1/(C8:E8&lt;&gt;""),C8:E8)-B8)</f>
        <v/>
      </c>
      <c r="G8" s="73" t="inlineStr">
        <is>
          <t>1:45</t>
        </is>
      </c>
    </row>
    <row r="9" ht="15" customHeight="1" s="39">
      <c r="A9" s="41" t="inlineStr">
        <is>
          <t>Sandbag lunges 100 m (20 kg)</t>
        </is>
      </c>
      <c r="B9" s="75" t="n"/>
      <c r="C9" s="75" t="n"/>
      <c r="D9" s="75" t="n"/>
      <c r="E9" s="75" t="n"/>
      <c r="F9" s="76">
        <f>IF(COUNT(B9:E9)&lt;2,"",LOOKUP(2,1/(C9:E9&lt;&gt;""),C9:E9)-B9)</f>
        <v/>
      </c>
      <c r="G9" s="73" t="inlineStr">
        <is>
          <t>4:30</t>
        </is>
      </c>
    </row>
    <row r="10" ht="15" customHeight="1" s="39">
      <c r="A10" s="41" t="inlineStr">
        <is>
          <t>Full / half sim time</t>
        </is>
      </c>
      <c r="B10" s="75" t="n"/>
      <c r="C10" s="75" t="n"/>
      <c r="D10" s="75" t="n"/>
      <c r="E10" s="75" t="n"/>
      <c r="F10" s="76">
        <f>IF(COUNT(B10:E10)&lt;2,"",LOOKUP(2,1/(C10:E10&lt;&gt;""),C10:E10)-B10)</f>
        <v/>
      </c>
      <c r="G10" s="73" t="n"/>
    </row>
    <row r="12" ht="15" customHeight="1" s="39">
      <c r="A12" s="45" t="inlineStr">
        <is>
          <t>Change: negative = faster. Race targets are rough splits for about 1:25 overall; adjust after week 8.</t>
        </is>
      </c>
    </row>
    <row r="13" ht="15" customHeight="1" s="39">
      <c r="A13" s="45" t="inlineStr">
        <is>
          <t>Enter times as m:ss (typed as 0:04:15 in Excel).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2026-09-28T17:47:29Z</dcterms:created>
  <dcterms:modified xmlns:dcterms="http://purl.org/dc/terms/" xmlns:xsi="http://www.w3.org/2001/XMLSchema-instance" xsi:type="dcterms:W3CDTF">2026-10-31T16:14:51Z</dcterms:modified>
  <cp:revision>0</cp:revision>
</cp:coreProperties>
</file>